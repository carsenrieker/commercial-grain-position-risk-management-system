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66925"/>
  <xr:revisionPtr revIDLastSave="0" documentId="8_{A7DAAA71-681F-4A6C-890D-76E1DD92D8AA}" xr6:coauthVersionLast="47" xr6:coauthVersionMax="47" xr10:uidLastSave="{00000000-0000-0000-0000-000000000000}"/>
  <bookViews>
    <workbookView xWindow="240" yWindow="105" windowWidth="14805" windowHeight="8010" firstSheet="8" activeTab="8" xr2:uid="{00000000-000D-0000-FFFF-FFFF00000000}"/>
  </bookViews>
  <sheets>
    <sheet name="Purchase Contracts" sheetId="1" r:id="rId1"/>
    <sheet name="Inbound Scale Tickets" sheetId="2" r:id="rId2"/>
    <sheet name="Discount Schedules" sheetId="3" r:id="rId3"/>
    <sheet name="Sale Contracts" sheetId="10" r:id="rId4"/>
    <sheet name="Outbound Scale Tickets" sheetId="9" r:id="rId5"/>
    <sheet name="Destination Specs" sheetId="11" r:id="rId6"/>
    <sheet name="Position" sheetId="5" r:id="rId7"/>
    <sheet name="Dashboard" sheetId="7" r:id="rId8"/>
    <sheet name="USER GUIDE"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7" l="1"/>
  <c r="J12" i="7"/>
  <c r="J6" i="7"/>
  <c r="O11" i="7"/>
  <c r="O10" i="7"/>
  <c r="O9" i="7"/>
  <c r="O8" i="7"/>
  <c r="O7" i="7"/>
  <c r="O6" i="7"/>
  <c r="O5" i="7"/>
  <c r="J22" i="7"/>
  <c r="C18" i="5"/>
  <c r="K19" i="5"/>
  <c r="K18" i="5"/>
  <c r="K17" i="5"/>
  <c r="K16" i="5"/>
  <c r="G15" i="5"/>
  <c r="F15" i="5"/>
  <c r="E15" i="5"/>
  <c r="G14" i="5"/>
  <c r="F14" i="5"/>
  <c r="E14" i="5"/>
  <c r="G13" i="5"/>
  <c r="F13" i="5"/>
  <c r="E13" i="5"/>
  <c r="G12" i="5"/>
  <c r="F12" i="5"/>
  <c r="E12" i="5"/>
  <c r="G11" i="5"/>
  <c r="F11" i="5"/>
  <c r="E11" i="5"/>
  <c r="G10" i="5"/>
  <c r="F10" i="5"/>
  <c r="E10" i="5"/>
  <c r="G9" i="5"/>
  <c r="F9" i="5"/>
  <c r="E9" i="5"/>
  <c r="G8" i="5"/>
  <c r="F8" i="5"/>
  <c r="E8" i="5"/>
  <c r="G7" i="5"/>
  <c r="F7" i="5"/>
  <c r="E7" i="5"/>
  <c r="G6" i="5"/>
  <c r="F6" i="5"/>
  <c r="E6" i="5"/>
  <c r="O3" i="10"/>
  <c r="O4" i="10"/>
  <c r="O5" i="10"/>
  <c r="O6" i="10"/>
  <c r="O7" i="10"/>
  <c r="O8" i="10"/>
  <c r="O9" i="10"/>
  <c r="O10" i="10"/>
  <c r="O11" i="10"/>
  <c r="O12" i="10"/>
  <c r="O13" i="10"/>
  <c r="O14" i="10"/>
  <c r="O2" i="10"/>
  <c r="N3" i="10"/>
  <c r="N4" i="10"/>
  <c r="N5" i="10"/>
  <c r="N6" i="10"/>
  <c r="N7" i="10"/>
  <c r="N8" i="10"/>
  <c r="N9" i="10"/>
  <c r="N10" i="10"/>
  <c r="N11" i="10"/>
  <c r="N12" i="10"/>
  <c r="N13" i="10"/>
  <c r="N14" i="10"/>
  <c r="N2" i="10"/>
  <c r="M3" i="10"/>
  <c r="M4" i="10"/>
  <c r="M5" i="10"/>
  <c r="M6" i="10"/>
  <c r="M7" i="10"/>
  <c r="M8" i="10"/>
  <c r="M9" i="10"/>
  <c r="M10" i="10"/>
  <c r="M11" i="10"/>
  <c r="M12" i="10"/>
  <c r="M13" i="10"/>
  <c r="M14" i="10"/>
  <c r="J12" i="5"/>
  <c r="L12" i="5" s="1"/>
  <c r="J11" i="5"/>
  <c r="L11" i="5" s="1"/>
  <c r="J10" i="5"/>
  <c r="L10" i="5" s="1"/>
  <c r="J9" i="5"/>
  <c r="L9" i="5" s="1"/>
  <c r="J8" i="5"/>
  <c r="L8" i="5" s="1"/>
  <c r="J7" i="5"/>
  <c r="L7" i="5" s="1"/>
  <c r="J6" i="5"/>
  <c r="L6" i="5" s="1"/>
  <c r="T3" i="9"/>
  <c r="T4" i="9"/>
  <c r="T5" i="9"/>
  <c r="T6" i="9"/>
  <c r="T7" i="9"/>
  <c r="T8" i="9"/>
  <c r="T9" i="9"/>
  <c r="T10" i="9"/>
  <c r="T11" i="9"/>
  <c r="T12" i="9"/>
  <c r="T2" i="9"/>
  <c r="S3" i="9"/>
  <c r="S4" i="9"/>
  <c r="S5" i="9"/>
  <c r="S6" i="9"/>
  <c r="S7" i="9"/>
  <c r="S8" i="9"/>
  <c r="S9" i="9"/>
  <c r="S10" i="9"/>
  <c r="S11" i="9"/>
  <c r="S12" i="9"/>
  <c r="S2" i="9"/>
  <c r="M3" i="9"/>
  <c r="M4" i="9"/>
  <c r="M5" i="9"/>
  <c r="M6" i="9"/>
  <c r="M7" i="9"/>
  <c r="M8" i="9"/>
  <c r="M9" i="9"/>
  <c r="M10" i="9"/>
  <c r="M11" i="9"/>
  <c r="M12" i="9"/>
  <c r="M2" i="9"/>
  <c r="R3" i="9"/>
  <c r="R4" i="9"/>
  <c r="R5" i="9"/>
  <c r="R6" i="9"/>
  <c r="R7" i="9"/>
  <c r="R8" i="9"/>
  <c r="R9" i="9"/>
  <c r="R10" i="9"/>
  <c r="R11" i="9"/>
  <c r="R12" i="9"/>
  <c r="R2" i="9"/>
  <c r="M2" i="10"/>
  <c r="I3" i="10"/>
  <c r="J3" i="10" s="1"/>
  <c r="K3" i="10" s="1"/>
  <c r="I4" i="10"/>
  <c r="J4" i="10" s="1"/>
  <c r="K4" i="10" s="1"/>
  <c r="I5" i="10"/>
  <c r="J5" i="10" s="1"/>
  <c r="K5" i="10" s="1"/>
  <c r="I6" i="10"/>
  <c r="J6" i="10" s="1"/>
  <c r="K6" i="10" s="1"/>
  <c r="I7" i="10"/>
  <c r="J7" i="10" s="1"/>
  <c r="K7" i="10" s="1"/>
  <c r="I8" i="10"/>
  <c r="J8" i="10" s="1"/>
  <c r="K8" i="10" s="1"/>
  <c r="I9" i="10"/>
  <c r="J9" i="10" s="1"/>
  <c r="K9" i="10" s="1"/>
  <c r="I10" i="10"/>
  <c r="J10" i="10" s="1"/>
  <c r="K10" i="10" s="1"/>
  <c r="I11" i="10"/>
  <c r="J11" i="10" s="1"/>
  <c r="K11" i="10" s="1"/>
  <c r="I12" i="10"/>
  <c r="J12" i="10" s="1"/>
  <c r="K12" i="10" s="1"/>
  <c r="I13" i="10"/>
  <c r="J13" i="10" s="1"/>
  <c r="K13" i="10" s="1"/>
  <c r="I14" i="10"/>
  <c r="J14" i="10" s="1"/>
  <c r="K14" i="10" s="1"/>
  <c r="I2" i="10"/>
  <c r="J2" i="10" s="1"/>
  <c r="K2" i="10" s="1"/>
  <c r="K2" i="1"/>
  <c r="H3" i="1"/>
  <c r="H4" i="1"/>
  <c r="H5" i="1"/>
  <c r="H6" i="1"/>
  <c r="H7" i="1"/>
  <c r="H8" i="1"/>
  <c r="H9" i="1"/>
  <c r="H10" i="1"/>
  <c r="H11" i="1"/>
  <c r="H12" i="1"/>
  <c r="H13" i="1"/>
  <c r="H14" i="1"/>
  <c r="H15" i="1"/>
  <c r="H16" i="1"/>
  <c r="H2" i="1"/>
  <c r="R16" i="2"/>
  <c r="R17" i="2"/>
  <c r="R18" i="2"/>
  <c r="R19" i="2"/>
  <c r="R20" i="2"/>
  <c r="R21" i="2"/>
  <c r="R22" i="2"/>
  <c r="R23" i="2"/>
  <c r="R24" i="2"/>
  <c r="R25" i="2"/>
  <c r="R26" i="2"/>
  <c r="R27" i="2"/>
  <c r="R28" i="2"/>
  <c r="R29" i="2"/>
  <c r="R30" i="2"/>
  <c r="R31" i="2"/>
  <c r="R3" i="2"/>
  <c r="R4" i="2"/>
  <c r="R5" i="2"/>
  <c r="R6" i="2"/>
  <c r="R7" i="2"/>
  <c r="R8" i="2"/>
  <c r="R9" i="2"/>
  <c r="R10" i="2"/>
  <c r="R11" i="2"/>
  <c r="R12" i="2"/>
  <c r="R13" i="2"/>
  <c r="R14" i="2"/>
  <c r="R15" i="2"/>
  <c r="R2" i="2"/>
  <c r="K5" i="1"/>
  <c r="K7" i="1"/>
  <c r="K10" i="1"/>
  <c r="K13" i="1"/>
  <c r="K16"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2" i="2"/>
  <c r="S3" i="2"/>
  <c r="S4" i="2"/>
  <c r="S5" i="2"/>
  <c r="S6" i="2"/>
  <c r="S7" i="2"/>
  <c r="S8" i="2"/>
  <c r="S9" i="2"/>
  <c r="S10" i="2"/>
  <c r="S11" i="2"/>
  <c r="K6" i="1" s="1"/>
  <c r="S12" i="2"/>
  <c r="S13" i="2"/>
  <c r="S14" i="2"/>
  <c r="S15" i="2"/>
  <c r="S16" i="2"/>
  <c r="K3" i="1" s="1"/>
  <c r="S17" i="2"/>
  <c r="K11" i="1" s="1"/>
  <c r="S18" i="2"/>
  <c r="S19" i="2"/>
  <c r="S20" i="2"/>
  <c r="S21" i="2"/>
  <c r="S22" i="2"/>
  <c r="S23" i="2"/>
  <c r="M2" i="1" s="1"/>
  <c r="S24" i="2"/>
  <c r="S25" i="2"/>
  <c r="S26" i="2"/>
  <c r="S27" i="2"/>
  <c r="S28" i="2"/>
  <c r="S29" i="2"/>
  <c r="S30" i="2"/>
  <c r="S31" i="2"/>
  <c r="S2" i="2"/>
  <c r="I2" i="1"/>
  <c r="I3" i="1"/>
  <c r="I4" i="1"/>
  <c r="I5" i="1"/>
  <c r="I6" i="1"/>
  <c r="I7" i="1"/>
  <c r="I8" i="1"/>
  <c r="I9" i="1"/>
  <c r="I10" i="1"/>
  <c r="I11" i="1"/>
  <c r="I12" i="1"/>
  <c r="I13" i="1"/>
  <c r="I14" i="1"/>
  <c r="I15" i="1"/>
  <c r="I16" i="1"/>
  <c r="K15" i="1" l="1"/>
  <c r="K4" i="1"/>
  <c r="K14" i="1"/>
  <c r="K9" i="1"/>
  <c r="K12" i="1"/>
  <c r="K8" i="1"/>
  <c r="L2" i="1"/>
  <c r="L16" i="1"/>
  <c r="L15" i="1"/>
  <c r="M15" i="1"/>
  <c r="L14" i="1"/>
  <c r="M14" i="1"/>
  <c r="L13" i="1"/>
  <c r="M13" i="1"/>
  <c r="L12" i="1"/>
  <c r="C26" i="7" s="1"/>
  <c r="M12" i="1"/>
  <c r="L11" i="1"/>
  <c r="M11" i="1"/>
  <c r="L10" i="1"/>
  <c r="M10" i="1"/>
  <c r="L9" i="1"/>
  <c r="M9" i="1"/>
  <c r="L8" i="1"/>
  <c r="C23" i="7" s="1"/>
  <c r="M8" i="1"/>
  <c r="L7" i="1"/>
  <c r="M7" i="1"/>
  <c r="L6" i="1"/>
  <c r="M6" i="1"/>
  <c r="L5" i="1"/>
  <c r="C21" i="7" s="1"/>
  <c r="M5" i="1"/>
  <c r="L4" i="1"/>
  <c r="M4" i="1"/>
  <c r="L3" i="1"/>
  <c r="M3" i="1"/>
  <c r="C22" i="7" l="1"/>
  <c r="C24" i="7"/>
  <c r="C25" i="7"/>
  <c r="C20" i="7"/>
</calcChain>
</file>

<file path=xl/sharedStrings.xml><?xml version="1.0" encoding="utf-8"?>
<sst xmlns="http://schemas.openxmlformats.org/spreadsheetml/2006/main" count="1272" uniqueCount="234">
  <si>
    <t>Purchase Contract #</t>
  </si>
  <si>
    <t>Customer</t>
  </si>
  <si>
    <t>Commodity</t>
  </si>
  <si>
    <t>DLV Location</t>
  </si>
  <si>
    <t>DLV Period</t>
  </si>
  <si>
    <t>Futures Code</t>
  </si>
  <si>
    <t>Fut Px</t>
  </si>
  <si>
    <t>Basis</t>
  </si>
  <si>
    <t>Cash Px</t>
  </si>
  <si>
    <t>Bushels</t>
  </si>
  <si>
    <t>Delivered</t>
  </si>
  <si>
    <t xml:space="preserve">Remaining </t>
  </si>
  <si>
    <t xml:space="preserve">Fill % </t>
  </si>
  <si>
    <t>C26001</t>
  </si>
  <si>
    <t>Kuhlman Farms</t>
  </si>
  <si>
    <t>Corn</t>
  </si>
  <si>
    <t xml:space="preserve">Houston </t>
  </si>
  <si>
    <t>Feb-26</t>
  </si>
  <si>
    <t>CH26</t>
  </si>
  <si>
    <t>C26002</t>
  </si>
  <si>
    <t>Schardt Farms</t>
  </si>
  <si>
    <t>C26003</t>
  </si>
  <si>
    <t>Meyer Farms</t>
  </si>
  <si>
    <t>Mar-26</t>
  </si>
  <si>
    <t>C26004</t>
  </si>
  <si>
    <t>Walter Grain</t>
  </si>
  <si>
    <t>Jun-26</t>
  </si>
  <si>
    <t>CN26</t>
  </si>
  <si>
    <t>C26005</t>
  </si>
  <si>
    <t>Hoffman Farms</t>
  </si>
  <si>
    <t>Jul-26</t>
  </si>
  <si>
    <t>C26006</t>
  </si>
  <si>
    <t>Brenneman Farms</t>
  </si>
  <si>
    <t>Sep-26</t>
  </si>
  <si>
    <t>CU26</t>
  </si>
  <si>
    <t>C26007</t>
  </si>
  <si>
    <t>Ridgeview Ag</t>
  </si>
  <si>
    <t>Oct-Nov 26</t>
  </si>
  <si>
    <t>CZ26</t>
  </si>
  <si>
    <t>C26008</t>
  </si>
  <si>
    <t>Triple Creek Farms</t>
  </si>
  <si>
    <t>S26001</t>
  </si>
  <si>
    <t>Kramer Farms</t>
  </si>
  <si>
    <t>Soybeans</t>
  </si>
  <si>
    <t>Aug-26</t>
  </si>
  <si>
    <t>SQ26</t>
  </si>
  <si>
    <t>S26002</t>
  </si>
  <si>
    <t>Johnson Farms</t>
  </si>
  <si>
    <t>SU26</t>
  </si>
  <si>
    <t>S26003</t>
  </si>
  <si>
    <t>Miller Farms</t>
  </si>
  <si>
    <t>SX26</t>
  </si>
  <si>
    <t>S26004</t>
  </si>
  <si>
    <t>Baughman Farms</t>
  </si>
  <si>
    <t>S26005</t>
  </si>
  <si>
    <t>Heritage Ag</t>
  </si>
  <si>
    <t>S26006</t>
  </si>
  <si>
    <t>Four Star Farms</t>
  </si>
  <si>
    <t>S26007</t>
  </si>
  <si>
    <t>Northfield Farms</t>
  </si>
  <si>
    <t>Nov-26</t>
  </si>
  <si>
    <t xml:space="preserve">Posted Basis </t>
  </si>
  <si>
    <t>Corn Basis</t>
  </si>
  <si>
    <t>Soybean Basis</t>
  </si>
  <si>
    <t>—</t>
  </si>
  <si>
    <t>Ticket #</t>
  </si>
  <si>
    <t>Contract #</t>
  </si>
  <si>
    <t>Driver</t>
  </si>
  <si>
    <t>License Plate</t>
  </si>
  <si>
    <t>DLV Date</t>
  </si>
  <si>
    <t>Time In</t>
  </si>
  <si>
    <t xml:space="preserve">Time Out </t>
  </si>
  <si>
    <t>Gross Wt</t>
  </si>
  <si>
    <t>Tare Wt</t>
  </si>
  <si>
    <t>Net Wt</t>
  </si>
  <si>
    <t>TW</t>
  </si>
  <si>
    <t>Mt %</t>
  </si>
  <si>
    <t xml:space="preserve">Damage % </t>
  </si>
  <si>
    <t>FM %</t>
  </si>
  <si>
    <t xml:space="preserve">Dockage ($/bu) </t>
  </si>
  <si>
    <t>Net Bu</t>
  </si>
  <si>
    <t>T1001</t>
  </si>
  <si>
    <t>Houston</t>
  </si>
  <si>
    <t>Jake Miller</t>
  </si>
  <si>
    <t>TX-4821</t>
  </si>
  <si>
    <t>T1002</t>
  </si>
  <si>
    <t>Travis Johnson</t>
  </si>
  <si>
    <t>TX-6154</t>
  </si>
  <si>
    <t>T1003</t>
  </si>
  <si>
    <t>Cody Smith</t>
  </si>
  <si>
    <t>TX-7932</t>
  </si>
  <si>
    <t>T1004</t>
  </si>
  <si>
    <t>T1005</t>
  </si>
  <si>
    <t>Ryan Davis</t>
  </si>
  <si>
    <t>TX-2207</t>
  </si>
  <si>
    <t>T1006</t>
  </si>
  <si>
    <t>Triple Creek Farm</t>
  </si>
  <si>
    <t>Matt Wilson</t>
  </si>
  <si>
    <t>TX-5189</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</si>
  <si>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</si>
  <si>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</si>
  <si>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</si>
  <si>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</si>
  <si>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</si>
  <si>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</si>
  <si>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</si>
  <si>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</si>
  <si>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</si>
  <si>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</si>
  <si>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</si>
  <si>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</si>
  <si>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</si>
  <si>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</si>
  <si>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</si>
  <si>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</si>
  <si>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</si>
  <si>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</si>
  <si>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</si>
  <si>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</si>
  <si>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</si>
  <si>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</si>
  <si>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</si>
  <si>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</si>
  <si>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 xml:space="preserve">Dockage values are cumulative and applied per bushel based on ticket quality results.* </t>
  </si>
  <si>
    <t xml:space="preserve">Corn Discount Schedule </t>
  </si>
  <si>
    <t xml:space="preserve">Soybean Discount Schedule </t>
  </si>
  <si>
    <t>Factor</t>
  </si>
  <si>
    <t>Low</t>
  </si>
  <si>
    <t>High</t>
  </si>
  <si>
    <t>Dockage ($/bu)</t>
  </si>
  <si>
    <t>Moisture</t>
  </si>
  <si>
    <t>Test Weight</t>
  </si>
  <si>
    <t>Damage</t>
  </si>
  <si>
    <t>FM</t>
  </si>
  <si>
    <t>Sale Cxt #</t>
  </si>
  <si>
    <t>Buyer</t>
  </si>
  <si>
    <t>Destination</t>
  </si>
  <si>
    <t>Dest Basis</t>
  </si>
  <si>
    <t>Freight Adj</t>
  </si>
  <si>
    <t xml:space="preserve">Net Basis </t>
  </si>
  <si>
    <t>Sale Px</t>
  </si>
  <si>
    <t>Shipped</t>
  </si>
  <si>
    <t>SC26001</t>
  </si>
  <si>
    <t>Bayport Ethanol</t>
  </si>
  <si>
    <t>Pasadena, TX</t>
  </si>
  <si>
    <t>SC26002</t>
  </si>
  <si>
    <t>Gulf Coast Feed</t>
  </si>
  <si>
    <t>Humble, TX</t>
  </si>
  <si>
    <t>SC26003</t>
  </si>
  <si>
    <t>Porter Feed Mill</t>
  </si>
  <si>
    <t>Porter, TX</t>
  </si>
  <si>
    <t>SC26004</t>
  </si>
  <si>
    <t>Lone Star Export</t>
  </si>
  <si>
    <t>Galveston, TX</t>
  </si>
  <si>
    <t>SC26005</t>
  </si>
  <si>
    <t>Sugar Land Milling</t>
  </si>
  <si>
    <t>Sugar Land, TX</t>
  </si>
  <si>
    <t>SC26006</t>
  </si>
  <si>
    <t>Enterprise Ethanol</t>
  </si>
  <si>
    <t>Mont Belvieu, TX</t>
  </si>
  <si>
    <t>SC26007</t>
  </si>
  <si>
    <t>Texas Feed Group</t>
  </si>
  <si>
    <t>SS26001</t>
  </si>
  <si>
    <t>Texas Soy Processors</t>
  </si>
  <si>
    <t>SS26002</t>
  </si>
  <si>
    <t>Gulf Export Terminal</t>
  </si>
  <si>
    <t>SS26003</t>
  </si>
  <si>
    <t>Heritage Feed &amp; Oil</t>
  </si>
  <si>
    <t>SS26004</t>
  </si>
  <si>
    <t>Bay Area Crushing</t>
  </si>
  <si>
    <t>SS26005</t>
  </si>
  <si>
    <t>Lone Star Soy Processing</t>
  </si>
  <si>
    <t>SS26006</t>
  </si>
  <si>
    <t>Coastal Export Group</t>
  </si>
  <si>
    <t>Destination Freight Rates</t>
  </si>
  <si>
    <t>Location</t>
  </si>
  <si>
    <t>Freight Adj ($/bu)</t>
  </si>
  <si>
    <t>Houston, TX</t>
  </si>
  <si>
    <t>Sale Contract #</t>
  </si>
  <si>
    <t>Ship Date</t>
  </si>
  <si>
    <t>Time Out</t>
  </si>
  <si>
    <t>Dmg %</t>
  </si>
  <si>
    <t>Dest Dockage ($/bu)</t>
  </si>
  <si>
    <t>Dest Deduction ($)</t>
  </si>
  <si>
    <t>OT1001</t>
  </si>
  <si>
    <t>OT1002</t>
  </si>
  <si>
    <t>OT1003</t>
  </si>
  <si>
    <t>OT1004</t>
  </si>
  <si>
    <t>OT1005</t>
  </si>
  <si>
    <t>OT1006</t>
  </si>
  <si>
    <t>OT1007</t>
  </si>
  <si>
    <t>OT1008</t>
  </si>
  <si>
    <t>OT1009</t>
  </si>
  <si>
    <t>OT1010</t>
  </si>
  <si>
    <t>OT1011</t>
  </si>
  <si>
    <t>Destination quality specifications are maintained by buyer and are used to calculate outbound dockage on shipped grain. Dockage values are cumulative and applied per bushel based on destination-specific quality standards.  Export terminals generally maintain stricter quality requirements than ethanol plants, feed mills, and soybean processors.*</t>
  </si>
  <si>
    <t>Corn Destination Specifications</t>
  </si>
  <si>
    <t>Dockage</t>
  </si>
  <si>
    <t>MT</t>
  </si>
  <si>
    <t>DMG</t>
  </si>
  <si>
    <t>Soybean Destination Specifications</t>
  </si>
  <si>
    <t>Open Sales Position by Location</t>
  </si>
  <si>
    <t>Futures Hedge Position</t>
  </si>
  <si>
    <t>Contracted</t>
  </si>
  <si>
    <t>Remaining</t>
  </si>
  <si>
    <t>Open Bushels</t>
  </si>
  <si>
    <t>Futures Hedged</t>
  </si>
  <si>
    <t xml:space="preserve">Net Position </t>
  </si>
  <si>
    <t>Pasadena</t>
  </si>
  <si>
    <t>Mont Belvieu</t>
  </si>
  <si>
    <t>Humble</t>
  </si>
  <si>
    <t>Porter</t>
  </si>
  <si>
    <t>Sugarland</t>
  </si>
  <si>
    <t>Galveston</t>
  </si>
  <si>
    <t>Sales Position Summary</t>
  </si>
  <si>
    <t>Total Open Sales Bushels</t>
  </si>
  <si>
    <t>Positioning Alert</t>
  </si>
  <si>
    <t>Largest Destination Exposure</t>
  </si>
  <si>
    <t>Open Corn Sales</t>
  </si>
  <si>
    <t>Open Soybean Sales</t>
  </si>
  <si>
    <t>Remaining Bu</t>
  </si>
  <si>
    <t>Grain Merchandising Dashboard</t>
  </si>
  <si>
    <t xml:space="preserve">Total Open Bushels </t>
  </si>
  <si>
    <t xml:space="preserve">Hedge Coverage </t>
  </si>
  <si>
    <t>Purpose of This User Guide</t>
  </si>
  <si>
    <t xml:space="preserve">Purchase Contracts Tab </t>
  </si>
  <si>
    <t xml:space="preserve">Inbound Scale Tickets Tab </t>
  </si>
  <si>
    <t xml:space="preserve">Dicscount Schedules Tab </t>
  </si>
  <si>
    <t xml:space="preserve">Sale Contracts Tab </t>
  </si>
  <si>
    <t xml:space="preserve">Discount Schedules Tab </t>
  </si>
  <si>
    <t xml:space="preserve">Outbound Scale Tickets Tab </t>
  </si>
  <si>
    <t>Destination Specs</t>
  </si>
  <si>
    <t>Portfolio Tab</t>
  </si>
  <si>
    <t>Dashboard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</si>
</sst>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30">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i/>
      <sz val="11"/>
      <color theme="1"/>
      <name val="Calibri"/>
      <family val="2"/>
      <scheme val="minor"/>
    </font>
    <font>
      <b/>
      <sz val="12"/>
      <color theme="1"/>
      <name val="Calibri"/>
      <family val="2"/>
      <scheme val="minor"/>
    </font>
    <font>
      <sz val="11"/>
      <color rgb="FF000000"/>
      <name val="Calibri"/>
      <charset val="1"/>
    </font>
    <font>
      <sz val="14"/>
      <color rgb="FF000000"/>
      <name val="Calibri"/>
      <scheme val="minor"/>
    </font>
    <font>
      <b/>
      <u/>
      <sz val="14"/>
      <color rgb="FF000000"/>
      <name val="Calibri"/>
      <scheme val="minor"/>
    </font>
    <font>
      <b/>
      <sz val="10"/>
      <color theme="1"/>
      <name val="Calibri"/>
      <family val="2"/>
      <scheme val="minor"/>
    </font>
    <font>
      <sz val="8"/>
      <color theme="1"/>
      <name val="Calibri"/>
      <family val="2"/>
      <scheme val="minor"/>
    </font>
    <font>
      <sz val="10"/>
      <color rgb="FF000000"/>
      <name val="Calibri"/>
      <scheme val="minor"/>
    </font>
    <font>
      <b/>
      <sz val="20"/>
      <color rgb="FF000000"/>
      <name val="Calibri"/>
      <scheme val="minor"/>
    </font>
    <font>
      <b/>
      <sz val="24"/>
      <color rgb="FF000000"/>
      <name val="Calibri"/>
      <scheme val="minor"/>
    </font>
    <font>
      <b/>
      <sz val="14"/>
      <color rgb="FF000000"/>
      <name val="Calibri"/>
      <scheme val="minor"/>
    </font>
    <font>
      <b/>
      <u/>
      <sz val="12"/>
      <color rgb="FF000000"/>
      <name val="Calibri"/>
      <scheme val="minor"/>
    </font>
    <font>
      <b/>
      <u/>
      <sz val="14"/>
      <color rgb="FF000000"/>
      <name val="Calibri"/>
      <charset val="1"/>
    </font>
    <font>
      <sz val="9"/>
      <color theme="1"/>
      <name val="Calibri"/>
      <family val="2"/>
      <scheme val="minor"/>
    </font>
    <font>
      <sz val="12"/>
      <color theme="1"/>
      <name val="Calibri"/>
      <family val="2"/>
      <scheme val="minor"/>
    </font>
    <font>
      <sz val="12"/>
      <color rgb="FF000000"/>
      <name val="Calibri"/>
      <scheme val="minor"/>
    </font>
    <font>
      <b/>
      <sz val="12"/>
      <color rgb="FF000000"/>
      <name val="Calibri"/>
      <scheme val="minor"/>
    </font>
    <font>
      <b/>
      <u/>
      <sz val="11"/>
      <color theme="1"/>
      <name val="Calibri"/>
      <family val="2"/>
      <scheme val="minor"/>
    </font>
    <font>
      <b/>
      <u/>
      <sz val="11"/>
      <color rgb="FF000000"/>
      <name val="Calibri"/>
      <charset val="1"/>
    </font>
    <font>
      <i/>
      <sz val="10"/>
      <color rgb="FF000000"/>
      <name val="Calibri"/>
      <scheme val="minor"/>
    </font>
    <font>
      <u/>
      <sz val="12"/>
      <color theme="1"/>
      <name val="Calibri"/>
      <family val="2"/>
      <scheme val="minor"/>
    </font>
    <font>
      <u/>
      <sz val="12"/>
      <color rgb="FF000000"/>
      <name val="Calibri"/>
      <scheme val="minor"/>
    </font>
    <font>
      <sz val="11"/>
      <color theme="0"/>
      <name val="Calibri"/>
      <family val="2"/>
      <scheme val="minor"/>
    </font>
    <font>
      <sz val="11"/>
      <color theme="0"/>
      <name val="Calibri"/>
      <charset val="1"/>
    </font>
    <font>
      <sz val="14"/>
      <color theme="0"/>
      <name val="Calibri"/>
      <family val="2"/>
      <scheme val="minor"/>
    </font>
    <font>
      <u/>
      <sz val="16"/>
      <color rgb="FF000000"/>
      <name val="Calibri"/>
      <scheme val="minor"/>
    </font>
  </fonts>
  <fills count="12">
    <fill>
      <patternFill patternType="none"/>
    </fill>
    <fill>
      <patternFill patternType="gray125"/>
    </fill>
    <fill>
      <patternFill patternType="solid">
        <fgColor theme="8"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7" tint="0.59999389629810485"/>
        <bgColor indexed="64"/>
      </patternFill>
    </fill>
  </fills>
  <borders count="82">
    <border>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bottom/>
      <diagonal/>
    </border>
    <border>
      <left/>
      <right style="medium">
        <color rgb="FF000000"/>
      </right>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9" tint="-0.249977111117893"/>
      </left>
      <right/>
      <top style="thin">
        <color theme="9" tint="-0.249977111117893"/>
      </top>
      <bottom/>
      <diagonal/>
    </border>
    <border>
      <left/>
      <right/>
      <top style="thin">
        <color theme="9" tint="-0.249977111117893"/>
      </top>
      <bottom/>
      <diagonal/>
    </border>
    <border>
      <left style="thin">
        <color theme="9" tint="-0.249977111117893"/>
      </left>
      <right/>
      <top/>
      <bottom style="thin">
        <color theme="9" tint="-0.249977111117893"/>
      </bottom>
      <diagonal/>
    </border>
    <border>
      <left/>
      <right/>
      <top/>
      <bottom style="thin">
        <color theme="9" tint="-0.249977111117893"/>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right style="thin">
        <color rgb="FF000000"/>
      </right>
      <top/>
      <bottom style="medium">
        <color rgb="FF000000"/>
      </bottom>
      <diagonal/>
    </border>
    <border>
      <left style="medium">
        <color rgb="FF000000"/>
      </left>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style="medium">
        <color theme="4"/>
      </left>
      <right/>
      <top style="thin">
        <color theme="4"/>
      </top>
      <bottom style="thin">
        <color theme="4"/>
      </bottom>
      <diagonal/>
    </border>
    <border>
      <left/>
      <right style="medium">
        <color theme="4"/>
      </right>
      <top style="thin">
        <color theme="4"/>
      </top>
      <bottom style="thin">
        <color theme="4"/>
      </bottom>
      <diagonal/>
    </border>
    <border>
      <left/>
      <right/>
      <top/>
      <bottom style="thin">
        <color theme="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theme="4"/>
      </bottom>
      <diagonal/>
    </border>
    <border>
      <left/>
      <right style="medium">
        <color rgb="FF000000"/>
      </right>
      <top/>
      <bottom style="thin">
        <color theme="4"/>
      </bottom>
      <diagonal/>
    </border>
    <border>
      <left style="medium">
        <color rgb="FF000000"/>
      </left>
      <right/>
      <top style="thin">
        <color theme="4"/>
      </top>
      <bottom style="thin">
        <color theme="4"/>
      </bottom>
      <diagonal/>
    </border>
    <border>
      <left/>
      <right style="medium">
        <color rgb="FF000000"/>
      </right>
      <top style="thin">
        <color theme="4"/>
      </top>
      <bottom style="thin">
        <color theme="4"/>
      </bottom>
      <diagonal/>
    </border>
    <border>
      <left style="medium">
        <color rgb="FF000000"/>
      </left>
      <right/>
      <top style="thin">
        <color theme="4"/>
      </top>
      <bottom style="medium">
        <color rgb="FF000000"/>
      </bottom>
      <diagonal/>
    </border>
    <border>
      <left/>
      <right style="medium">
        <color theme="4"/>
      </right>
      <top style="thin">
        <color theme="4"/>
      </top>
      <bottom style="medium">
        <color rgb="FF000000"/>
      </bottom>
      <diagonal/>
    </border>
    <border>
      <left style="medium">
        <color theme="4"/>
      </left>
      <right/>
      <top style="thin">
        <color theme="4"/>
      </top>
      <bottom style="medium">
        <color rgb="FF000000"/>
      </bottom>
      <diagonal/>
    </border>
    <border>
      <left/>
      <right style="medium">
        <color rgb="FF000000"/>
      </right>
      <top style="thin">
        <color theme="4"/>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right style="thin">
        <color rgb="FFFFC000"/>
      </right>
      <top style="thin">
        <color theme="9" tint="-0.249977111117893"/>
      </top>
      <bottom/>
      <diagonal/>
    </border>
    <border>
      <left/>
      <right style="thin">
        <color rgb="FFFFC000"/>
      </right>
      <top/>
      <bottom style="thin">
        <color theme="9" tint="-0.249977111117893"/>
      </bottom>
      <diagonal/>
    </border>
    <border>
      <left style="thin">
        <color theme="9" tint="-0.249977111117893"/>
      </left>
      <right/>
      <top/>
      <bottom/>
      <diagonal/>
    </border>
  </borders>
  <cellStyleXfs count="1">
    <xf numFmtId="0" fontId="0" fillId="0" borderId="0"/>
  </cellStyleXfs>
  <cellXfs count="273">
    <xf numFmtId="0" fontId="0" fillId="0" borderId="0" xfId="0"/>
    <xf numFmtId="0" fontId="0" fillId="0" borderId="0" xfId="0" applyAlignment="1">
      <alignment horizontal="center"/>
    </xf>
    <xf numFmtId="0" fontId="0" fillId="0" borderId="5" xfId="0" applyBorder="1"/>
    <xf numFmtId="0" fontId="0" fillId="0" borderId="8" xfId="0" applyBorder="1"/>
    <xf numFmtId="0" fontId="5" fillId="2" borderId="12" xfId="0" applyFont="1" applyFill="1" applyBorder="1" applyAlignment="1">
      <alignment horizontal="center"/>
    </xf>
    <xf numFmtId="0" fontId="0" fillId="0" borderId="1" xfId="0" applyBorder="1"/>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0" fillId="3" borderId="8" xfId="0" applyFill="1" applyBorder="1"/>
    <xf numFmtId="0" fontId="0" fillId="3" borderId="1" xfId="0" applyFill="1" applyBorder="1"/>
    <xf numFmtId="0" fontId="0" fillId="3" borderId="5" xfId="0" applyFill="1" applyBorder="1"/>
    <xf numFmtId="0" fontId="0" fillId="3" borderId="20" xfId="0" applyFill="1" applyBorder="1"/>
    <xf numFmtId="0" fontId="0" fillId="3" borderId="2" xfId="0" applyFill="1" applyBorder="1"/>
    <xf numFmtId="0" fontId="0" fillId="3" borderId="21" xfId="0" applyFill="1" applyBorder="1"/>
    <xf numFmtId="10" fontId="0" fillId="0" borderId="0" xfId="0" applyNumberFormat="1"/>
    <xf numFmtId="0" fontId="4" fillId="0" borderId="0" xfId="0" applyFont="1"/>
    <xf numFmtId="0" fontId="3" fillId="0" borderId="0" xfId="0" applyFont="1" applyAlignment="1">
      <alignment horizontal="center"/>
    </xf>
    <xf numFmtId="0" fontId="10" fillId="0" borderId="0" xfId="0" applyFont="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vertical="center"/>
    </xf>
    <xf numFmtId="0" fontId="7" fillId="0" borderId="0" xfId="0" applyFont="1" applyAlignment="1">
      <alignment vertical="center"/>
    </xf>
    <xf numFmtId="2" fontId="0" fillId="0" borderId="11" xfId="0" applyNumberFormat="1" applyBorder="1" applyAlignment="1">
      <alignment horizontal="center"/>
    </xf>
    <xf numFmtId="2" fontId="0" fillId="0" borderId="4" xfId="0" applyNumberFormat="1" applyBorder="1" applyAlignment="1">
      <alignment horizontal="center"/>
    </xf>
    <xf numFmtId="0" fontId="5" fillId="2" borderId="33" xfId="0" applyFont="1" applyFill="1" applyBorder="1" applyAlignment="1">
      <alignment horizontal="center"/>
    </xf>
    <xf numFmtId="0" fontId="5" fillId="2" borderId="34" xfId="0" applyFont="1" applyFill="1" applyBorder="1" applyAlignment="1">
      <alignment horizontal="center"/>
    </xf>
    <xf numFmtId="0" fontId="0" fillId="0" borderId="35" xfId="0" applyBorder="1" applyAlignment="1">
      <alignment horizontal="center"/>
    </xf>
    <xf numFmtId="0" fontId="0" fillId="0" borderId="37" xfId="0" applyBorder="1" applyAlignment="1">
      <alignment horizontal="center"/>
    </xf>
    <xf numFmtId="2" fontId="0" fillId="0" borderId="37" xfId="0" applyNumberFormat="1" applyBorder="1" applyAlignment="1">
      <alignment horizontal="center"/>
    </xf>
    <xf numFmtId="2" fontId="0" fillId="0" borderId="38" xfId="0" applyNumberFormat="1" applyBorder="1" applyAlignment="1">
      <alignment horizontal="center"/>
    </xf>
    <xf numFmtId="0" fontId="0" fillId="0" borderId="39" xfId="0" applyBorder="1" applyAlignment="1">
      <alignment horizontal="center"/>
    </xf>
    <xf numFmtId="0" fontId="2" fillId="2" borderId="17" xfId="0" applyFont="1" applyFill="1" applyBorder="1" applyAlignment="1">
      <alignment horizontal="center"/>
    </xf>
    <xf numFmtId="0" fontId="2" fillId="2" borderId="43" xfId="0" applyFont="1" applyFill="1" applyBorder="1" applyAlignment="1">
      <alignment horizontal="center"/>
    </xf>
    <xf numFmtId="0" fontId="2" fillId="2" borderId="44" xfId="0" applyFont="1" applyFill="1" applyBorder="1" applyAlignment="1">
      <alignment horizontal="center"/>
    </xf>
    <xf numFmtId="0" fontId="3" fillId="0" borderId="40" xfId="0" applyFont="1" applyBorder="1" applyAlignment="1">
      <alignment horizontal="center"/>
    </xf>
    <xf numFmtId="0" fontId="3" fillId="0" borderId="41" xfId="0" applyFont="1" applyBorder="1" applyAlignment="1">
      <alignment horizontal="center"/>
    </xf>
    <xf numFmtId="2" fontId="3" fillId="0" borderId="41" xfId="0" applyNumberFormat="1" applyFont="1" applyBorder="1" applyAlignment="1">
      <alignment horizontal="center"/>
    </xf>
    <xf numFmtId="0" fontId="3" fillId="4" borderId="41" xfId="0" applyFont="1" applyFill="1" applyBorder="1" applyAlignment="1">
      <alignment horizontal="center"/>
    </xf>
    <xf numFmtId="10" fontId="3" fillId="0" borderId="42" xfId="0" applyNumberFormat="1"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2" fontId="3" fillId="0" borderId="18" xfId="0" applyNumberFormat="1" applyFont="1" applyBorder="1" applyAlignment="1">
      <alignment horizontal="center"/>
    </xf>
    <xf numFmtId="0" fontId="3" fillId="4" borderId="18" xfId="0" applyFont="1" applyFill="1" applyBorder="1" applyAlignment="1">
      <alignment horizontal="center"/>
    </xf>
    <xf numFmtId="10" fontId="3" fillId="0" borderId="19" xfId="0" applyNumberFormat="1" applyFont="1" applyBorder="1" applyAlignment="1">
      <alignment horizontal="center"/>
    </xf>
    <xf numFmtId="2" fontId="3" fillId="0" borderId="0" xfId="0" applyNumberFormat="1" applyFont="1" applyAlignment="1">
      <alignment horizontal="center"/>
    </xf>
    <xf numFmtId="0" fontId="3" fillId="4" borderId="0" xfId="0" applyFont="1" applyFill="1" applyAlignment="1">
      <alignment horizontal="center"/>
    </xf>
    <xf numFmtId="0" fontId="3" fillId="0" borderId="45" xfId="0" applyFont="1" applyBorder="1" applyAlignment="1">
      <alignment horizontal="center"/>
    </xf>
    <xf numFmtId="0" fontId="3" fillId="0" borderId="46" xfId="0" applyFont="1" applyBorder="1" applyAlignment="1">
      <alignment horizontal="center"/>
    </xf>
    <xf numFmtId="2" fontId="3" fillId="0" borderId="46" xfId="0" applyNumberFormat="1" applyFont="1" applyBorder="1" applyAlignment="1">
      <alignment horizontal="center"/>
    </xf>
    <xf numFmtId="0" fontId="3" fillId="4" borderId="46" xfId="0" applyFont="1" applyFill="1" applyBorder="1" applyAlignment="1">
      <alignment horizontal="center"/>
    </xf>
    <xf numFmtId="10" fontId="3" fillId="0" borderId="6" xfId="0" applyNumberFormat="1" applyFont="1" applyBorder="1" applyAlignment="1">
      <alignment horizontal="center"/>
    </xf>
    <xf numFmtId="0" fontId="3" fillId="0" borderId="47" xfId="0" applyFont="1" applyBorder="1" applyAlignment="1">
      <alignment horizontal="center"/>
    </xf>
    <xf numFmtId="10" fontId="3" fillId="0" borderId="5" xfId="0" applyNumberFormat="1" applyFont="1" applyBorder="1" applyAlignment="1">
      <alignment horizontal="center"/>
    </xf>
    <xf numFmtId="49" fontId="0" fillId="9" borderId="20" xfId="0" applyNumberFormat="1" applyFill="1" applyBorder="1" applyAlignment="1">
      <alignment horizontal="center"/>
    </xf>
    <xf numFmtId="49" fontId="0" fillId="9" borderId="36" xfId="0" applyNumberFormat="1" applyFill="1" applyBorder="1" applyAlignment="1">
      <alignment horizontal="center"/>
    </xf>
    <xf numFmtId="49" fontId="0" fillId="9" borderId="14" xfId="0" applyNumberFormat="1" applyFill="1" applyBorder="1" applyAlignment="1">
      <alignment horizontal="center"/>
    </xf>
    <xf numFmtId="0" fontId="14" fillId="0" borderId="0" xfId="0" applyFont="1" applyAlignment="1">
      <alignment vertical="center" indent="7"/>
    </xf>
    <xf numFmtId="0" fontId="8" fillId="0" borderId="0" xfId="0" applyFont="1" applyAlignment="1">
      <alignment vertical="center" indent="7"/>
    </xf>
    <xf numFmtId="49" fontId="3" fillId="0" borderId="18" xfId="0" applyNumberFormat="1" applyFont="1" applyBorder="1" applyAlignment="1">
      <alignment horizontal="center"/>
    </xf>
    <xf numFmtId="49" fontId="3" fillId="0" borderId="41" xfId="0" applyNumberFormat="1" applyFont="1" applyBorder="1" applyAlignment="1">
      <alignment horizontal="center"/>
    </xf>
    <xf numFmtId="49" fontId="3" fillId="0" borderId="46" xfId="0" applyNumberFormat="1" applyFont="1" applyBorder="1" applyAlignment="1">
      <alignment horizontal="center"/>
    </xf>
    <xf numFmtId="49" fontId="3" fillId="0" borderId="0" xfId="0" applyNumberFormat="1" applyFont="1" applyAlignment="1">
      <alignment horizontal="center"/>
    </xf>
    <xf numFmtId="0" fontId="5" fillId="2" borderId="17" xfId="0" applyFont="1" applyFill="1" applyBorder="1" applyAlignment="1">
      <alignment horizontal="center"/>
    </xf>
    <xf numFmtId="0" fontId="1" fillId="0" borderId="47" xfId="0" applyFont="1" applyBorder="1" applyAlignment="1">
      <alignment horizontal="center"/>
    </xf>
    <xf numFmtId="0" fontId="5" fillId="2" borderId="44" xfId="0" applyFont="1" applyFill="1" applyBorder="1" applyAlignment="1">
      <alignment horizontal="center"/>
    </xf>
    <xf numFmtId="0" fontId="17" fillId="0" borderId="1" xfId="0" applyFont="1" applyBorder="1" applyAlignment="1">
      <alignment horizontal="center"/>
    </xf>
    <xf numFmtId="14" fontId="17" fillId="0" borderId="1" xfId="0" applyNumberFormat="1" applyFont="1" applyBorder="1" applyAlignment="1">
      <alignment horizontal="center"/>
    </xf>
    <xf numFmtId="18" fontId="17" fillId="0" borderId="1" xfId="0" applyNumberFormat="1" applyFont="1" applyBorder="1" applyAlignment="1">
      <alignment horizontal="center"/>
    </xf>
    <xf numFmtId="0" fontId="17" fillId="3" borderId="1" xfId="0" applyFont="1" applyFill="1" applyBorder="1" applyAlignment="1">
      <alignment horizontal="center"/>
    </xf>
    <xf numFmtId="14" fontId="17" fillId="3" borderId="1" xfId="0" applyNumberFormat="1" applyFont="1" applyFill="1" applyBorder="1" applyAlignment="1">
      <alignment horizontal="center"/>
    </xf>
    <xf numFmtId="18" fontId="17" fillId="3" borderId="1" xfId="0" applyNumberFormat="1" applyFont="1" applyFill="1" applyBorder="1" applyAlignment="1">
      <alignment horizontal="center"/>
    </xf>
    <xf numFmtId="0" fontId="5" fillId="2" borderId="13" xfId="0" applyFont="1" applyFill="1" applyBorder="1" applyAlignment="1">
      <alignment horizontal="center"/>
    </xf>
    <xf numFmtId="0" fontId="5" fillId="2" borderId="7" xfId="0" applyFont="1" applyFill="1" applyBorder="1" applyAlignment="1">
      <alignment horizontal="center"/>
    </xf>
    <xf numFmtId="0" fontId="18" fillId="0" borderId="0" xfId="0" applyFont="1"/>
    <xf numFmtId="0" fontId="18" fillId="0" borderId="8" xfId="0" applyFont="1" applyBorder="1"/>
    <xf numFmtId="0" fontId="18" fillId="0" borderId="1" xfId="0" applyFont="1" applyBorder="1" applyAlignment="1">
      <alignment horizontal="center"/>
    </xf>
    <xf numFmtId="14" fontId="18" fillId="0" borderId="1" xfId="0" applyNumberFormat="1" applyFont="1" applyBorder="1" applyAlignment="1">
      <alignment horizontal="center"/>
    </xf>
    <xf numFmtId="18" fontId="18" fillId="0" borderId="1" xfId="0" applyNumberFormat="1" applyFont="1" applyBorder="1" applyAlignment="1">
      <alignment horizontal="center"/>
    </xf>
    <xf numFmtId="0" fontId="18" fillId="0" borderId="5" xfId="0" applyFont="1" applyBorder="1" applyAlignment="1">
      <alignment horizontal="center"/>
    </xf>
    <xf numFmtId="0" fontId="18" fillId="3" borderId="8" xfId="0" applyFont="1" applyFill="1" applyBorder="1"/>
    <xf numFmtId="0" fontId="18" fillId="3" borderId="1" xfId="0" applyFont="1" applyFill="1" applyBorder="1" applyAlignment="1">
      <alignment horizontal="center"/>
    </xf>
    <xf numFmtId="14" fontId="18" fillId="3" borderId="1" xfId="0" applyNumberFormat="1" applyFont="1" applyFill="1" applyBorder="1" applyAlignment="1">
      <alignment horizontal="center"/>
    </xf>
    <xf numFmtId="18" fontId="18" fillId="3" borderId="1" xfId="0" applyNumberFormat="1" applyFont="1" applyFill="1" applyBorder="1" applyAlignment="1">
      <alignment horizontal="center"/>
    </xf>
    <xf numFmtId="0" fontId="18" fillId="3" borderId="5" xfId="0" applyFont="1" applyFill="1" applyBorder="1" applyAlignment="1">
      <alignment horizontal="center"/>
    </xf>
    <xf numFmtId="0" fontId="18" fillId="3" borderId="20" xfId="0" applyFont="1" applyFill="1" applyBorder="1"/>
    <xf numFmtId="0" fontId="18" fillId="3" borderId="2" xfId="0" applyFont="1" applyFill="1" applyBorder="1" applyAlignment="1">
      <alignment horizontal="center"/>
    </xf>
    <xf numFmtId="14" fontId="18" fillId="3" borderId="2" xfId="0" applyNumberFormat="1" applyFont="1" applyFill="1" applyBorder="1" applyAlignment="1">
      <alignment horizontal="center"/>
    </xf>
    <xf numFmtId="18" fontId="18" fillId="3" borderId="2" xfId="0" applyNumberFormat="1" applyFont="1" applyFill="1" applyBorder="1" applyAlignment="1">
      <alignment horizontal="center"/>
    </xf>
    <xf numFmtId="0" fontId="18" fillId="3" borderId="21" xfId="0" applyFont="1" applyFill="1" applyBorder="1" applyAlignment="1">
      <alignment horizontal="center"/>
    </xf>
    <xf numFmtId="0" fontId="5" fillId="2" borderId="43" xfId="0" applyFont="1" applyFill="1" applyBorder="1" applyAlignment="1">
      <alignment horizontal="center"/>
    </xf>
    <xf numFmtId="0" fontId="15" fillId="0" borderId="0" xfId="0" applyFont="1" applyAlignment="1">
      <alignment vertical="center"/>
    </xf>
    <xf numFmtId="0" fontId="19" fillId="0" borderId="0" xfId="0" applyFont="1" applyAlignment="1">
      <alignment vertical="center"/>
    </xf>
    <xf numFmtId="0" fontId="18" fillId="0" borderId="0" xfId="0" applyFont="1" applyAlignment="1">
      <alignment horizontal="center"/>
    </xf>
    <xf numFmtId="0" fontId="18" fillId="0" borderId="17" xfId="0" applyFont="1" applyBorder="1" applyAlignment="1">
      <alignment horizontal="center"/>
    </xf>
    <xf numFmtId="0" fontId="18" fillId="0" borderId="18" xfId="0" applyFont="1" applyBorder="1" applyAlignment="1">
      <alignment horizontal="center"/>
    </xf>
    <xf numFmtId="16" fontId="18" fillId="0" borderId="18" xfId="0" applyNumberFormat="1" applyFont="1" applyBorder="1" applyAlignment="1">
      <alignment horizontal="center"/>
    </xf>
    <xf numFmtId="2" fontId="18" fillId="0" borderId="18" xfId="0" applyNumberFormat="1" applyFont="1" applyBorder="1" applyAlignment="1">
      <alignment horizontal="center"/>
    </xf>
    <xf numFmtId="1" fontId="18" fillId="0" borderId="18" xfId="0" applyNumberFormat="1" applyFont="1" applyBorder="1" applyAlignment="1">
      <alignment horizontal="center"/>
    </xf>
    <xf numFmtId="10" fontId="18" fillId="0" borderId="19" xfId="0" applyNumberFormat="1" applyFont="1" applyBorder="1" applyAlignment="1">
      <alignment horizontal="center"/>
    </xf>
    <xf numFmtId="0" fontId="18" fillId="0" borderId="40" xfId="0" applyFont="1" applyBorder="1" applyAlignment="1">
      <alignment horizontal="center"/>
    </xf>
    <xf numFmtId="0" fontId="18" fillId="0" borderId="41" xfId="0" applyFont="1" applyBorder="1" applyAlignment="1">
      <alignment horizontal="center"/>
    </xf>
    <xf numFmtId="16" fontId="18" fillId="0" borderId="41" xfId="0" applyNumberFormat="1" applyFont="1" applyBorder="1" applyAlignment="1">
      <alignment horizontal="center"/>
    </xf>
    <xf numFmtId="2" fontId="18" fillId="0" borderId="41" xfId="0" applyNumberFormat="1" applyFont="1" applyBorder="1" applyAlignment="1">
      <alignment horizontal="center"/>
    </xf>
    <xf numFmtId="0" fontId="18" fillId="0" borderId="45" xfId="0" applyFont="1" applyBorder="1" applyAlignment="1">
      <alignment horizontal="center"/>
    </xf>
    <xf numFmtId="0" fontId="18" fillId="0" borderId="46" xfId="0" applyFont="1" applyBorder="1" applyAlignment="1">
      <alignment horizontal="center"/>
    </xf>
    <xf numFmtId="16" fontId="18" fillId="0" borderId="46" xfId="0" applyNumberFormat="1" applyFont="1" applyBorder="1" applyAlignment="1">
      <alignment horizontal="center"/>
    </xf>
    <xf numFmtId="2" fontId="18" fillId="0" borderId="46" xfId="0" applyNumberFormat="1" applyFont="1" applyBorder="1" applyAlignment="1">
      <alignment horizontal="center"/>
    </xf>
    <xf numFmtId="0" fontId="18" fillId="0" borderId="47" xfId="0" applyFont="1" applyBorder="1" applyAlignment="1">
      <alignment horizontal="center"/>
    </xf>
    <xf numFmtId="2" fontId="18" fillId="0" borderId="0" xfId="0" applyNumberFormat="1" applyFont="1" applyAlignment="1">
      <alignment horizontal="center"/>
    </xf>
    <xf numFmtId="0" fontId="20" fillId="0" borderId="0" xfId="0" applyFont="1" applyAlignment="1">
      <alignment horizontal="center" vertical="center" indent="7"/>
    </xf>
    <xf numFmtId="0" fontId="15" fillId="0" borderId="0" xfId="0" applyFont="1" applyAlignment="1">
      <alignment horizontal="center" vertical="center" indent="7"/>
    </xf>
    <xf numFmtId="0" fontId="0" fillId="0" borderId="47" xfId="0" applyBorder="1" applyAlignment="1">
      <alignment horizontal="center"/>
    </xf>
    <xf numFmtId="0" fontId="0" fillId="0" borderId="5"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6" xfId="0" applyBorder="1"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4" fillId="0" borderId="0" xfId="0" applyFont="1" applyAlignment="1">
      <alignment horizontal="center" vertical="center" wrapText="1"/>
    </xf>
    <xf numFmtId="0" fontId="25" fillId="0" borderId="0" xfId="0" applyFont="1" applyAlignment="1">
      <alignment vertical="center"/>
    </xf>
    <xf numFmtId="164" fontId="17" fillId="3" borderId="1" xfId="0" applyNumberFormat="1" applyFont="1" applyFill="1" applyBorder="1" applyAlignment="1">
      <alignment horizontal="center"/>
    </xf>
    <xf numFmtId="0" fontId="17" fillId="0" borderId="54" xfId="0" applyFont="1" applyBorder="1" applyAlignment="1">
      <alignment horizontal="center"/>
    </xf>
    <xf numFmtId="14" fontId="17" fillId="0" borderId="54" xfId="0" applyNumberFormat="1" applyFont="1" applyBorder="1" applyAlignment="1">
      <alignment horizontal="center"/>
    </xf>
    <xf numFmtId="18" fontId="17" fillId="0" borderId="54" xfId="0" applyNumberFormat="1" applyFont="1" applyBorder="1" applyAlignment="1">
      <alignment horizontal="center"/>
    </xf>
    <xf numFmtId="2" fontId="17" fillId="0" borderId="1" xfId="0" applyNumberFormat="1" applyFont="1" applyBorder="1" applyAlignment="1">
      <alignment horizontal="center"/>
    </xf>
    <xf numFmtId="2" fontId="17" fillId="3" borderId="1" xfId="0" applyNumberFormat="1" applyFont="1" applyFill="1" applyBorder="1" applyAlignment="1">
      <alignment horizontal="center"/>
    </xf>
    <xf numFmtId="2" fontId="17" fillId="0" borderId="54" xfId="0" applyNumberFormat="1" applyFont="1" applyBorder="1" applyAlignment="1">
      <alignment horizontal="center"/>
    </xf>
    <xf numFmtId="165" fontId="17" fillId="0" borderId="1" xfId="0" applyNumberFormat="1" applyFont="1" applyBorder="1" applyAlignment="1">
      <alignment horizontal="center"/>
    </xf>
    <xf numFmtId="165" fontId="17" fillId="3" borderId="1" xfId="0" applyNumberFormat="1" applyFont="1" applyFill="1" applyBorder="1" applyAlignment="1">
      <alignment horizontal="center"/>
    </xf>
    <xf numFmtId="165" fontId="17" fillId="0" borderId="54" xfId="0" applyNumberFormat="1" applyFont="1" applyBorder="1" applyAlignment="1">
      <alignment horizontal="center"/>
    </xf>
    <xf numFmtId="0" fontId="0" fillId="2" borderId="11" xfId="0" applyFill="1" applyBorder="1" applyAlignment="1">
      <alignment horizontal="center"/>
    </xf>
    <xf numFmtId="0" fontId="6" fillId="2" borderId="10" xfId="0" applyFont="1" applyFill="1" applyBorder="1" applyAlignment="1">
      <alignment horizontal="center"/>
    </xf>
    <xf numFmtId="0" fontId="0" fillId="10" borderId="3" xfId="0" applyFill="1" applyBorder="1"/>
    <xf numFmtId="0" fontId="0" fillId="10" borderId="1" xfId="0" applyFill="1" applyBorder="1"/>
    <xf numFmtId="1" fontId="0" fillId="10" borderId="3" xfId="0" applyNumberFormat="1" applyFill="1" applyBorder="1"/>
    <xf numFmtId="0" fontId="0" fillId="10" borderId="25" xfId="0" applyFill="1" applyBorder="1"/>
    <xf numFmtId="3" fontId="0" fillId="10" borderId="25" xfId="0" applyNumberFormat="1" applyFill="1" applyBorder="1"/>
    <xf numFmtId="3" fontId="0" fillId="0" borderId="0" xfId="0" applyNumberFormat="1"/>
    <xf numFmtId="1" fontId="18" fillId="4" borderId="18" xfId="0" applyNumberFormat="1" applyFont="1" applyFill="1" applyBorder="1" applyAlignment="1">
      <alignment horizontal="center"/>
    </xf>
    <xf numFmtId="0" fontId="0" fillId="10" borderId="55" xfId="0" applyFill="1" applyBorder="1"/>
    <xf numFmtId="3" fontId="0" fillId="10" borderId="63" xfId="0" applyNumberFormat="1" applyFill="1" applyBorder="1"/>
    <xf numFmtId="0" fontId="0" fillId="10" borderId="64" xfId="0" applyFill="1" applyBorder="1"/>
    <xf numFmtId="0" fontId="0" fillId="10" borderId="65" xfId="0" applyFill="1" applyBorder="1"/>
    <xf numFmtId="3" fontId="0" fillId="10" borderId="16" xfId="0" applyNumberFormat="1" applyFill="1" applyBorder="1"/>
    <xf numFmtId="0" fontId="0" fillId="2" borderId="36" xfId="0" applyFill="1" applyBorder="1" applyAlignment="1">
      <alignment horizontal="center"/>
    </xf>
    <xf numFmtId="0" fontId="6" fillId="2" borderId="63" xfId="0" applyFont="1" applyFill="1" applyBorder="1" applyAlignment="1">
      <alignment horizontal="center"/>
    </xf>
    <xf numFmtId="0" fontId="0" fillId="10" borderId="8" xfId="0" applyFill="1" applyBorder="1"/>
    <xf numFmtId="1" fontId="0" fillId="10" borderId="5" xfId="0" applyNumberFormat="1" applyFill="1" applyBorder="1"/>
    <xf numFmtId="0" fontId="0" fillId="10" borderId="66" xfId="0" applyFill="1" applyBorder="1"/>
    <xf numFmtId="0" fontId="0" fillId="10" borderId="54" xfId="0" applyFill="1" applyBorder="1"/>
    <xf numFmtId="0" fontId="0" fillId="10" borderId="67" xfId="0" applyFill="1" applyBorder="1"/>
    <xf numFmtId="0" fontId="0" fillId="10" borderId="68" xfId="0" applyFill="1" applyBorder="1"/>
    <xf numFmtId="0" fontId="1" fillId="2" borderId="61" xfId="0" applyFont="1" applyFill="1" applyBorder="1" applyAlignment="1">
      <alignment horizontal="center"/>
    </xf>
    <xf numFmtId="0" fontId="1" fillId="2" borderId="22" xfId="0" applyFont="1" applyFill="1" applyBorder="1" applyAlignment="1">
      <alignment horizontal="center"/>
    </xf>
    <xf numFmtId="0" fontId="1" fillId="2" borderId="62" xfId="0" applyFont="1" applyFill="1" applyBorder="1" applyAlignment="1">
      <alignment horizontal="center"/>
    </xf>
    <xf numFmtId="3" fontId="0" fillId="10" borderId="65" xfId="0" applyNumberFormat="1" applyFill="1" applyBorder="1"/>
    <xf numFmtId="0" fontId="26" fillId="0" borderId="0" xfId="0" applyFont="1"/>
    <xf numFmtId="0" fontId="26" fillId="9" borderId="0" xfId="0" applyFont="1" applyFill="1"/>
    <xf numFmtId="0" fontId="26" fillId="9" borderId="0" xfId="0" applyFont="1" applyFill="1" applyAlignment="1">
      <alignment horizontal="center"/>
    </xf>
    <xf numFmtId="0" fontId="27" fillId="9" borderId="0" xfId="0" applyFont="1" applyFill="1" applyAlignment="1">
      <alignment horizontal="center"/>
    </xf>
    <xf numFmtId="1" fontId="26" fillId="9" borderId="0" xfId="0" applyNumberFormat="1" applyFont="1" applyFill="1"/>
    <xf numFmtId="0" fontId="3" fillId="9" borderId="0" xfId="0" applyFont="1" applyFill="1" applyAlignment="1">
      <alignment horizontal="center"/>
    </xf>
    <xf numFmtId="1" fontId="3" fillId="9" borderId="0" xfId="0" applyNumberFormat="1" applyFont="1" applyFill="1" applyAlignment="1">
      <alignment horizontal="center"/>
    </xf>
    <xf numFmtId="0" fontId="28" fillId="9" borderId="0" xfId="0" applyFont="1" applyFill="1" applyAlignment="1">
      <alignment horizontal="center"/>
    </xf>
    <xf numFmtId="10" fontId="28" fillId="9" borderId="0" xfId="0" applyNumberFormat="1" applyFont="1" applyFill="1" applyAlignment="1">
      <alignment horizontal="center"/>
    </xf>
    <xf numFmtId="10" fontId="3" fillId="9" borderId="0" xfId="0" applyNumberFormat="1" applyFont="1" applyFill="1" applyAlignment="1">
      <alignment horizontal="center"/>
    </xf>
    <xf numFmtId="0" fontId="3" fillId="4" borderId="77" xfId="0" applyFont="1" applyFill="1" applyBorder="1" applyAlignment="1">
      <alignment horizontal="center"/>
    </xf>
    <xf numFmtId="10" fontId="3" fillId="5" borderId="78" xfId="0" applyNumberFormat="1" applyFont="1" applyFill="1" applyBorder="1" applyAlignment="1">
      <alignment horizontal="center"/>
    </xf>
    <xf numFmtId="1" fontId="3" fillId="5" borderId="78" xfId="0" applyNumberFormat="1" applyFont="1" applyFill="1" applyBorder="1" applyAlignment="1">
      <alignment horizontal="center"/>
    </xf>
    <xf numFmtId="0" fontId="12" fillId="6" borderId="29" xfId="0" applyFont="1" applyFill="1" applyBorder="1" applyAlignment="1">
      <alignment vertical="center"/>
    </xf>
    <xf numFmtId="0" fontId="12" fillId="9" borderId="29" xfId="0" applyFont="1" applyFill="1" applyBorder="1" applyAlignment="1">
      <alignment vertical="center"/>
    </xf>
    <xf numFmtId="0" fontId="12" fillId="9" borderId="30" xfId="0" applyFont="1" applyFill="1" applyBorder="1" applyAlignment="1">
      <alignment vertical="center"/>
    </xf>
    <xf numFmtId="0" fontId="12" fillId="9" borderId="79" xfId="0" applyFont="1" applyFill="1" applyBorder="1" applyAlignment="1">
      <alignment vertical="center"/>
    </xf>
    <xf numFmtId="0" fontId="12" fillId="9" borderId="31" xfId="0" applyFont="1" applyFill="1" applyBorder="1" applyAlignment="1">
      <alignment vertical="center"/>
    </xf>
    <xf numFmtId="0" fontId="12" fillId="9" borderId="32" xfId="0" applyFont="1" applyFill="1" applyBorder="1" applyAlignment="1">
      <alignment vertical="center"/>
    </xf>
    <xf numFmtId="0" fontId="12" fillId="9" borderId="80" xfId="0" applyFont="1" applyFill="1" applyBorder="1" applyAlignment="1">
      <alignment vertical="center"/>
    </xf>
    <xf numFmtId="0" fontId="0" fillId="6" borderId="30" xfId="0" applyFill="1" applyBorder="1" applyAlignment="1">
      <alignment vertical="center"/>
    </xf>
    <xf numFmtId="0" fontId="0" fillId="6" borderId="31" xfId="0" applyFill="1" applyBorder="1" applyAlignment="1">
      <alignment vertical="center"/>
    </xf>
    <xf numFmtId="0" fontId="0" fillId="6" borderId="32" xfId="0" applyFill="1" applyBorder="1" applyAlignment="1">
      <alignment vertical="center"/>
    </xf>
    <xf numFmtId="0" fontId="12" fillId="11" borderId="29" xfId="0" applyFont="1" applyFill="1" applyBorder="1" applyAlignment="1">
      <alignment horizontal="center" vertical="center"/>
    </xf>
    <xf numFmtId="0" fontId="12" fillId="11" borderId="30" xfId="0" applyFont="1" applyFill="1" applyBorder="1" applyAlignment="1">
      <alignment horizontal="center" vertical="center"/>
    </xf>
    <xf numFmtId="0" fontId="12" fillId="11" borderId="81" xfId="0" applyFont="1" applyFill="1" applyBorder="1" applyAlignment="1">
      <alignment horizontal="center" vertical="center"/>
    </xf>
    <xf numFmtId="0" fontId="12" fillId="11" borderId="0" xfId="0" applyFont="1" applyFill="1" applyAlignment="1">
      <alignment horizontal="center" vertical="center"/>
    </xf>
    <xf numFmtId="0" fontId="12" fillId="6" borderId="29" xfId="0" applyFont="1" applyFill="1" applyBorder="1" applyAlignment="1">
      <alignment horizontal="center" vertical="center"/>
    </xf>
    <xf numFmtId="0" fontId="12" fillId="6" borderId="30" xfId="0" applyFont="1" applyFill="1" applyBorder="1" applyAlignment="1">
      <alignment horizontal="center" vertical="center"/>
    </xf>
    <xf numFmtId="0" fontId="12" fillId="6" borderId="31" xfId="0" applyFont="1" applyFill="1" applyBorder="1" applyAlignment="1">
      <alignment horizontal="center" vertical="center"/>
    </xf>
    <xf numFmtId="0" fontId="12" fillId="6" borderId="32" xfId="0" applyFont="1" applyFill="1" applyBorder="1" applyAlignment="1">
      <alignment horizontal="center" vertical="center"/>
    </xf>
    <xf numFmtId="0" fontId="12" fillId="6" borderId="81" xfId="0" applyFont="1" applyFill="1" applyBorder="1" applyAlignment="1">
      <alignment horizontal="center" vertical="center"/>
    </xf>
    <xf numFmtId="0" fontId="12" fillId="6" borderId="0" xfId="0" applyFont="1" applyFill="1" applyAlignment="1">
      <alignment horizontal="center" vertical="center"/>
    </xf>
    <xf numFmtId="0" fontId="0" fillId="6" borderId="30" xfId="0" applyFill="1" applyBorder="1" applyAlignment="1">
      <alignment horizontal="center" vertical="center"/>
    </xf>
    <xf numFmtId="0" fontId="0" fillId="6" borderId="31" xfId="0" applyFill="1" applyBorder="1" applyAlignment="1">
      <alignment horizontal="center" vertical="center"/>
    </xf>
    <xf numFmtId="0" fontId="0" fillId="6" borderId="32" xfId="0" applyFill="1" applyBorder="1" applyAlignment="1">
      <alignment horizontal="center" vertical="center"/>
    </xf>
    <xf numFmtId="0" fontId="12" fillId="11" borderId="48" xfId="0" applyFont="1" applyFill="1" applyBorder="1" applyAlignment="1">
      <alignment horizontal="center" vertical="center"/>
    </xf>
    <xf numFmtId="0" fontId="0" fillId="11" borderId="49" xfId="0" applyFill="1" applyBorder="1" applyAlignment="1">
      <alignment horizontal="center" vertical="center"/>
    </xf>
    <xf numFmtId="0" fontId="0" fillId="11" borderId="50" xfId="0" applyFill="1" applyBorder="1" applyAlignment="1">
      <alignment horizontal="center" vertical="center"/>
    </xf>
    <xf numFmtId="0" fontId="0" fillId="11" borderId="51" xfId="0" applyFill="1" applyBorder="1" applyAlignment="1">
      <alignment horizontal="center" vertical="center"/>
    </xf>
    <xf numFmtId="0" fontId="0" fillId="11" borderId="52" xfId="0" applyFill="1" applyBorder="1" applyAlignment="1">
      <alignment horizontal="center" vertical="center"/>
    </xf>
    <xf numFmtId="0" fontId="0" fillId="11" borderId="53" xfId="0" applyFill="1" applyBorder="1" applyAlignment="1">
      <alignment horizontal="center" vertical="center"/>
    </xf>
    <xf numFmtId="0" fontId="13" fillId="7" borderId="26" xfId="0" applyFont="1" applyFill="1" applyBorder="1" applyAlignment="1">
      <alignment horizontal="center"/>
    </xf>
    <xf numFmtId="0" fontId="9" fillId="7" borderId="27" xfId="0" applyFont="1" applyFill="1" applyBorder="1" applyAlignment="1">
      <alignment horizontal="center"/>
    </xf>
    <xf numFmtId="0" fontId="9" fillId="7" borderId="28" xfId="0" applyFont="1" applyFill="1" applyBorder="1" applyAlignment="1">
      <alignment horizontal="center"/>
    </xf>
    <xf numFmtId="0" fontId="8" fillId="0" borderId="0" xfId="0" applyFont="1" applyAlignment="1">
      <alignment horizontal="center" vertical="center" indent="7"/>
    </xf>
    <xf numFmtId="0" fontId="16" fillId="0" borderId="9" xfId="0" applyFont="1" applyBorder="1" applyAlignment="1">
      <alignment horizontal="center" vertical="center" indent="7"/>
    </xf>
    <xf numFmtId="0" fontId="8" fillId="0" borderId="25" xfId="0" applyFont="1" applyBorder="1" applyAlignment="1">
      <alignment horizontal="center" vertical="center" indent="7"/>
    </xf>
    <xf numFmtId="0" fontId="8" fillId="0" borderId="10" xfId="0" applyFont="1" applyBorder="1" applyAlignment="1">
      <alignment horizontal="center" vertical="center" indent="7"/>
    </xf>
    <xf numFmtId="0" fontId="5" fillId="5" borderId="23" xfId="0" applyFont="1" applyFill="1" applyBorder="1" applyAlignment="1">
      <alignment horizontal="center"/>
    </xf>
    <xf numFmtId="0" fontId="5" fillId="5" borderId="24" xfId="0" applyFont="1" applyFill="1" applyBorder="1" applyAlignment="1">
      <alignment horizontal="center"/>
    </xf>
    <xf numFmtId="0" fontId="5" fillId="5" borderId="7" xfId="0" applyFont="1" applyFill="1" applyBorder="1" applyAlignment="1">
      <alignment horizontal="center"/>
    </xf>
    <xf numFmtId="0" fontId="5" fillId="8" borderId="17" xfId="0" applyFont="1" applyFill="1" applyBorder="1" applyAlignment="1">
      <alignment horizontal="center"/>
    </xf>
    <xf numFmtId="0" fontId="5" fillId="8" borderId="18" xfId="0" applyFont="1" applyFill="1" applyBorder="1" applyAlignment="1">
      <alignment horizontal="center"/>
    </xf>
    <xf numFmtId="0" fontId="5" fillId="8" borderId="19" xfId="0" applyFont="1" applyFill="1" applyBorder="1" applyAlignment="1">
      <alignment horizontal="center"/>
    </xf>
    <xf numFmtId="0" fontId="15" fillId="0" borderId="0" xfId="0" applyFont="1" applyAlignment="1">
      <alignment horizontal="center" vertical="center"/>
    </xf>
    <xf numFmtId="0" fontId="0" fillId="0" borderId="0" xfId="0" applyAlignment="1">
      <alignment horizontal="center" vertical="center"/>
    </xf>
    <xf numFmtId="0" fontId="15" fillId="0" borderId="0" xfId="0" applyFont="1" applyAlignment="1">
      <alignment horizontal="center" vertical="center" indent="7"/>
    </xf>
    <xf numFmtId="0" fontId="18" fillId="0" borderId="55" xfId="0" applyFont="1" applyBorder="1" applyAlignment="1">
      <alignment horizontal="center"/>
    </xf>
    <xf numFmtId="0" fontId="18" fillId="0" borderId="25" xfId="0" applyFont="1" applyBorder="1" applyAlignment="1">
      <alignment horizontal="center"/>
    </xf>
    <xf numFmtId="0" fontId="5" fillId="0" borderId="4" xfId="0" applyFont="1" applyBorder="1" applyAlignment="1">
      <alignment horizontal="center"/>
    </xf>
    <xf numFmtId="0" fontId="5" fillId="0" borderId="35" xfId="0" applyFont="1" applyBorder="1" applyAlignment="1">
      <alignment horizontal="center"/>
    </xf>
    <xf numFmtId="0" fontId="5" fillId="0" borderId="56" xfId="0" applyFont="1" applyBorder="1" applyAlignment="1">
      <alignment horizontal="center"/>
    </xf>
    <xf numFmtId="0" fontId="5" fillId="0" borderId="57" xfId="0" applyFont="1" applyBorder="1" applyAlignment="1">
      <alignment horizontal="center"/>
    </xf>
    <xf numFmtId="0" fontId="5" fillId="2" borderId="12" xfId="0" applyFont="1" applyFill="1" applyBorder="1" applyAlignment="1">
      <alignment horizontal="center"/>
    </xf>
    <xf numFmtId="0" fontId="5" fillId="2" borderId="33" xfId="0" applyFont="1" applyFill="1" applyBorder="1" applyAlignment="1">
      <alignment horizontal="center"/>
    </xf>
    <xf numFmtId="0" fontId="5" fillId="2" borderId="34" xfId="0" applyFont="1" applyFill="1" applyBorder="1" applyAlignment="1">
      <alignment horizontal="center"/>
    </xf>
    <xf numFmtId="2" fontId="18" fillId="0" borderId="11" xfId="0" applyNumberFormat="1" applyFont="1" applyBorder="1" applyAlignment="1">
      <alignment horizontal="center"/>
    </xf>
    <xf numFmtId="2" fontId="18" fillId="0" borderId="37" xfId="0" applyNumberFormat="1" applyFont="1" applyBorder="1" applyAlignment="1">
      <alignment horizontal="center"/>
    </xf>
    <xf numFmtId="0" fontId="18" fillId="0" borderId="64" xfId="0" applyFont="1" applyBorder="1" applyAlignment="1">
      <alignment horizontal="center"/>
    </xf>
    <xf numFmtId="0" fontId="18" fillId="0" borderId="65" xfId="0" applyFont="1" applyBorder="1" applyAlignment="1">
      <alignment horizontal="center"/>
    </xf>
    <xf numFmtId="2" fontId="18" fillId="0" borderId="38" xfId="0" applyNumberFormat="1" applyFont="1" applyBorder="1" applyAlignment="1">
      <alignment horizontal="center"/>
    </xf>
    <xf numFmtId="2" fontId="18" fillId="0" borderId="39" xfId="0" applyNumberFormat="1" applyFont="1" applyBorder="1" applyAlignment="1">
      <alignment horizontal="center"/>
    </xf>
    <xf numFmtId="0" fontId="24" fillId="0" borderId="0" xfId="0" applyFont="1" applyAlignment="1">
      <alignment horizontal="center" vertical="center" wrapText="1"/>
    </xf>
    <xf numFmtId="0" fontId="21" fillId="8" borderId="17" xfId="0" applyFont="1" applyFill="1" applyBorder="1" applyAlignment="1">
      <alignment horizontal="center"/>
    </xf>
    <xf numFmtId="0" fontId="21" fillId="8" borderId="18" xfId="0" applyFont="1" applyFill="1" applyBorder="1" applyAlignment="1">
      <alignment horizontal="center"/>
    </xf>
    <xf numFmtId="0" fontId="21" fillId="8" borderId="19" xfId="0" applyFont="1" applyFill="1" applyBorder="1" applyAlignment="1">
      <alignment horizontal="center"/>
    </xf>
    <xf numFmtId="0" fontId="23"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6" xfId="0" applyFont="1" applyBorder="1" applyAlignment="1">
      <alignment horizontal="center" vertical="center" wrapText="1"/>
    </xf>
    <xf numFmtId="0" fontId="21" fillId="5" borderId="17" xfId="0" applyFont="1" applyFill="1" applyBorder="1" applyAlignment="1">
      <alignment horizontal="center"/>
    </xf>
    <xf numFmtId="0" fontId="21" fillId="5" borderId="18" xfId="0" applyFont="1" applyFill="1" applyBorder="1" applyAlignment="1">
      <alignment horizontal="center"/>
    </xf>
    <xf numFmtId="0" fontId="21" fillId="5" borderId="19" xfId="0" applyFont="1" applyFill="1" applyBorder="1" applyAlignment="1">
      <alignment horizontal="center"/>
    </xf>
    <xf numFmtId="0" fontId="22" fillId="5" borderId="17" xfId="0" applyFont="1" applyFill="1" applyBorder="1" applyAlignment="1">
      <alignment horizontal="center"/>
    </xf>
    <xf numFmtId="0" fontId="25" fillId="0" borderId="0" xfId="0" applyFont="1" applyAlignment="1">
      <alignment horizontal="center" vertical="center"/>
    </xf>
    <xf numFmtId="0" fontId="0" fillId="10" borderId="17" xfId="0" applyFill="1" applyBorder="1" applyAlignment="1">
      <alignment horizontal="center" vertical="center"/>
    </xf>
    <xf numFmtId="0" fontId="0" fillId="10" borderId="18" xfId="0" applyFill="1" applyBorder="1" applyAlignment="1">
      <alignment horizontal="center" vertical="center"/>
    </xf>
    <xf numFmtId="0" fontId="0" fillId="10" borderId="19" xfId="0" applyFill="1" applyBorder="1" applyAlignment="1">
      <alignment horizontal="center" vertical="center"/>
    </xf>
    <xf numFmtId="0" fontId="0" fillId="10" borderId="45" xfId="0" applyFill="1" applyBorder="1" applyAlignment="1">
      <alignment horizontal="center" vertical="center"/>
    </xf>
    <xf numFmtId="0" fontId="0" fillId="10" borderId="46" xfId="0" applyFill="1" applyBorder="1" applyAlignment="1">
      <alignment horizontal="center" vertical="center"/>
    </xf>
    <xf numFmtId="0" fontId="0" fillId="10" borderId="6" xfId="0" applyFill="1" applyBorder="1" applyAlignment="1">
      <alignment horizontal="center" vertical="center"/>
    </xf>
    <xf numFmtId="0" fontId="0" fillId="10" borderId="71" xfId="0" applyFill="1" applyBorder="1" applyAlignment="1">
      <alignment horizontal="center"/>
    </xf>
    <xf numFmtId="0" fontId="0" fillId="10" borderId="59" xfId="0" applyFill="1" applyBorder="1" applyAlignment="1">
      <alignment horizontal="center"/>
    </xf>
    <xf numFmtId="0" fontId="0" fillId="10" borderId="73" xfId="0" applyFill="1" applyBorder="1" applyAlignment="1">
      <alignment horizontal="center"/>
    </xf>
    <xf numFmtId="0" fontId="0" fillId="10" borderId="74" xfId="0" applyFill="1" applyBorder="1" applyAlignment="1">
      <alignment horizontal="center"/>
    </xf>
    <xf numFmtId="3" fontId="0" fillId="10" borderId="58" xfId="0" applyNumberFormat="1" applyFill="1" applyBorder="1" applyAlignment="1">
      <alignment horizontal="center"/>
    </xf>
    <xf numFmtId="0" fontId="0" fillId="10" borderId="72" xfId="0" applyFill="1" applyBorder="1" applyAlignment="1">
      <alignment horizontal="center"/>
    </xf>
    <xf numFmtId="1" fontId="0" fillId="10" borderId="58" xfId="0" applyNumberFormat="1" applyFill="1" applyBorder="1" applyAlignment="1">
      <alignment horizontal="center"/>
    </xf>
    <xf numFmtId="3" fontId="0" fillId="10" borderId="75" xfId="0" applyNumberFormat="1" applyFill="1" applyBorder="1" applyAlignment="1">
      <alignment horizontal="center"/>
    </xf>
    <xf numFmtId="0" fontId="0" fillId="10" borderId="76" xfId="0" applyFill="1" applyBorder="1" applyAlignment="1">
      <alignment horizontal="center"/>
    </xf>
    <xf numFmtId="0" fontId="21" fillId="2" borderId="17" xfId="0" applyFont="1" applyFill="1" applyBorder="1" applyAlignment="1">
      <alignment horizontal="center" vertical="center"/>
    </xf>
    <xf numFmtId="0" fontId="21" fillId="2" borderId="18" xfId="0" applyFont="1" applyFill="1" applyBorder="1" applyAlignment="1">
      <alignment horizontal="center" vertical="center"/>
    </xf>
    <xf numFmtId="0" fontId="21" fillId="2" borderId="19" xfId="0" applyFont="1" applyFill="1" applyBorder="1" applyAlignment="1">
      <alignment horizontal="center" vertical="center"/>
    </xf>
    <xf numFmtId="0" fontId="21" fillId="2" borderId="56" xfId="0" applyFont="1" applyFill="1" applyBorder="1" applyAlignment="1">
      <alignment horizontal="center" vertical="center"/>
    </xf>
    <xf numFmtId="0" fontId="21" fillId="2" borderId="57" xfId="0" applyFont="1" applyFill="1" applyBorder="1" applyAlignment="1">
      <alignment horizontal="center" vertical="center"/>
    </xf>
    <xf numFmtId="0" fontId="21" fillId="2" borderId="21" xfId="0" applyFont="1" applyFill="1" applyBorder="1" applyAlignment="1">
      <alignment horizontal="center" vertical="center"/>
    </xf>
    <xf numFmtId="0" fontId="21" fillId="2" borderId="69" xfId="0" applyFont="1" applyFill="1" applyBorder="1" applyAlignment="1">
      <alignment horizontal="center" vertical="center"/>
    </xf>
    <xf numFmtId="0" fontId="21" fillId="2" borderId="60" xfId="0" applyFont="1" applyFill="1" applyBorder="1" applyAlignment="1">
      <alignment horizontal="center" vertical="center"/>
    </xf>
    <xf numFmtId="0" fontId="21" fillId="2" borderId="70" xfId="0" applyFont="1" applyFill="1" applyBorder="1" applyAlignment="1">
      <alignment horizontal="center" vertical="center"/>
    </xf>
    <xf numFmtId="0" fontId="29" fillId="0" borderId="0" xfId="0" applyFont="1" applyAlignment="1">
      <alignment horizontal="center"/>
    </xf>
    <xf numFmtId="0" fontId="0" fillId="0" borderId="0" xfId="0" applyAlignment="1">
      <alignment horizontal="center"/>
    </xf>
  </cellXfs>
  <cellStyles count="1">
    <cellStyle name="Normal" xfId="0" builtinId="0"/>
  </cellStyles>
  <dxfs count="19">
    <dxf>
      <font>
        <color theme="1"/>
      </font>
      <fill>
        <patternFill patternType="solid">
          <bgColor theme="9" tint="0.79998168889431442"/>
        </patternFill>
      </fill>
    </dxf>
    <dxf>
      <fill>
        <patternFill patternType="solid">
          <bgColor theme="7" tint="0.79998168889431442"/>
        </patternFill>
      </fill>
    </dxf>
    <dxf>
      <font>
        <color rgb="FF006100"/>
      </font>
      <fill>
        <patternFill>
          <bgColor rgb="FFC6EFCE"/>
        </patternFill>
      </fill>
    </dxf>
    <dxf>
      <font>
        <color rgb="FF9C5700"/>
      </font>
      <fill>
        <patternFill>
          <bgColor rgb="FFFFEB9C"/>
        </patternFill>
      </fill>
    </dxf>
    <dxf>
      <font>
        <color rgb="FFC00000"/>
      </font>
      <fill>
        <patternFill patternType="solid">
          <bgColor rgb="FFFFC7CE"/>
        </patternFill>
      </fill>
    </dxf>
    <dxf>
      <font>
        <color rgb="FF006100"/>
      </font>
      <fill>
        <patternFill>
          <bgColor rgb="FFC6EFCE"/>
        </patternFill>
      </fill>
    </dxf>
    <dxf>
      <font>
        <color rgb="FF9C5700"/>
      </font>
      <fill>
        <patternFill>
          <bgColor rgb="FFFFEB9C"/>
        </patternFill>
      </fill>
    </dxf>
    <dxf>
      <font>
        <color rgb="FFC00000"/>
      </font>
      <fill>
        <patternFill patternType="solid">
          <bgColor rgb="FFFFC7CE"/>
        </patternFill>
      </fill>
    </dxf>
    <dxf>
      <font>
        <color rgb="FF006100"/>
      </font>
      <fill>
        <patternFill>
          <bgColor rgb="FFC6EFCE"/>
        </patternFill>
      </fill>
    </dxf>
    <dxf>
      <font>
        <color rgb="FF9C5700"/>
      </font>
      <fill>
        <patternFill>
          <bgColor rgb="FFFFEB9C"/>
        </patternFill>
      </fill>
    </dxf>
    <dxf>
      <font>
        <color rgb="FFC00000"/>
      </font>
      <fill>
        <patternFill patternType="solid">
          <bgColor rgb="FFFFC7CE"/>
        </patternFill>
      </fill>
    </dxf>
    <dxf>
      <font>
        <color rgb="FF006100"/>
      </font>
      <fill>
        <patternFill>
          <bgColor rgb="FFC6EFCE"/>
        </patternFill>
      </fill>
    </dxf>
    <dxf>
      <font>
        <color rgb="FF9C5700"/>
      </font>
      <fill>
        <patternFill>
          <bgColor rgb="FFFFEB9C"/>
        </patternFill>
      </fill>
    </dxf>
    <dxf>
      <font>
        <color rgb="FFC00000"/>
      </font>
      <fill>
        <patternFill patternType="solid">
          <bgColor rgb="FFFFC7CE"/>
        </patternFill>
      </fill>
    </dxf>
    <dxf>
      <font>
        <color theme="1"/>
      </font>
      <fill>
        <patternFill patternType="solid">
          <bgColor theme="9" tint="0.79998168889431442"/>
        </patternFill>
      </fill>
    </dxf>
    <dxf>
      <fill>
        <patternFill patternType="solid">
          <bgColor theme="7" tint="0.79998168889431442"/>
        </patternFill>
      </fill>
    </dxf>
    <dxf>
      <font>
        <color rgb="FF006100"/>
      </font>
      <fill>
        <patternFill>
          <bgColor rgb="FFC6EFCE"/>
        </patternFill>
      </fill>
    </dxf>
    <dxf>
      <font>
        <color rgb="FF9C5700"/>
      </font>
      <fill>
        <patternFill>
          <bgColor rgb="FFFFEB9C"/>
        </patternFill>
      </fill>
    </dxf>
    <dxf>
      <font>
        <color rgb="FFC00000"/>
      </font>
      <fill>
        <patternFill patternType="solid">
          <bgColor rgb="FFFFC7CE"/>
        </patternFill>
      </fill>
    </dxf>
  </dxfs>
  <tableStyles count="0" defaultTableStyle="TableStyleMedium2" defaultPivotStyle="PivotStyleMedium9"/>
  <colors>
    <mruColors>
      <color rgb="FFF6F7D5"/>
      <color rgb="FFE2FAD2"/>
      <color rgb="FFB0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Bushels by Delivery Location</a:t>
            </a:r>
          </a:p>
        </c:rich>
      </c:tx>
      <c:layout>
        <c:manualLayout>
          <c:xMode val="edge"/>
          <c:yMode val="edge"/>
          <c:x val="0.31869314781567926"/>
          <c:y val="2.87407769097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Dashboard!$B$1</c:f>
              <c:strCache>
                <c:ptCount val="1"/>
                <c:pt idx="0">
                  <c:v>Remaining Bu</c:v>
                </c:pt>
              </c:strCache>
            </c:strRef>
          </c:tx>
          <c:spPr>
            <a:solidFill>
              <a:srgbClr val="C6E0B4"/>
            </a:solidFill>
            <a:ln>
              <a:solidFill>
                <a:srgbClr val="4472C4"/>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Dashboard!$A$2:$A$8</c:f>
              <c:strCache>
                <c:ptCount val="7"/>
                <c:pt idx="0">
                  <c:v>Houston</c:v>
                </c:pt>
                <c:pt idx="1">
                  <c:v>Pasadena</c:v>
                </c:pt>
                <c:pt idx="2">
                  <c:v>Mont Belvieu</c:v>
                </c:pt>
                <c:pt idx="3">
                  <c:v>Humble</c:v>
                </c:pt>
                <c:pt idx="4">
                  <c:v>Porter</c:v>
                </c:pt>
                <c:pt idx="5">
                  <c:v>Sugarland</c:v>
                </c:pt>
                <c:pt idx="6">
                  <c:v>Galveston</c:v>
                </c:pt>
              </c:strCache>
            </c:strRef>
          </c:cat>
          <c:val>
            <c:numRef>
              <c:f>Dashboard!$B$2:$B$8</c:f>
              <c:numCache>
                <c:formatCode>General</c:formatCode>
                <c:ptCount val="7"/>
                <c:pt idx="0">
                  <c:v>53553</c:v>
                </c:pt>
                <c:pt idx="1">
                  <c:v>15151</c:v>
                </c:pt>
                <c:pt idx="2">
                  <c:v>13292</c:v>
                </c:pt>
                <c:pt idx="3">
                  <c:v>9168</c:v>
                </c:pt>
                <c:pt idx="4">
                  <c:v>20702</c:v>
                </c:pt>
                <c:pt idx="5">
                  <c:v>32256</c:v>
                </c:pt>
                <c:pt idx="6">
                  <c:v>5000</c:v>
                </c:pt>
              </c:numCache>
            </c:numRef>
          </c:val>
          <c:extLst>
            <c:ext xmlns:c16="http://schemas.microsoft.com/office/drawing/2014/chart" uri="{C3380CC4-5D6E-409C-BE32-E72D297353CC}">
              <c16:uniqueId val="{00000000-D82D-4E3B-A78F-8EC94720F26E}"/>
            </c:ext>
          </c:extLst>
        </c:ser>
        <c:dLbls>
          <c:dLblPos val="outEnd"/>
          <c:showLegendKey val="0"/>
          <c:showVal val="1"/>
          <c:showCatName val="0"/>
          <c:showSerName val="0"/>
          <c:showPercent val="0"/>
          <c:showBubbleSize val="0"/>
        </c:dLbls>
        <c:gapWidth val="219"/>
        <c:overlap val="-27"/>
        <c:axId val="1396932104"/>
        <c:axId val="1358925832"/>
      </c:barChart>
      <c:catAx>
        <c:axId val="139693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25832"/>
        <c:crosses val="autoZero"/>
        <c:auto val="1"/>
        <c:lblAlgn val="ctr"/>
        <c:lblOffset val="100"/>
        <c:noMultiLvlLbl val="0"/>
      </c:catAx>
      <c:valAx>
        <c:axId val="1358925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932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Futures Coverage by Contract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Dashboard!$C$19</c:f>
              <c:strCache>
                <c:ptCount val="1"/>
                <c:pt idx="0">
                  <c:v>Open Bushels</c:v>
                </c:pt>
              </c:strCache>
            </c:strRef>
          </c:tx>
          <c:spPr>
            <a:solidFill>
              <a:srgbClr val="A9D0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Dashboard!$B$20:$B$26</c:f>
              <c:strCache>
                <c:ptCount val="7"/>
                <c:pt idx="0">
                  <c:v>CH26</c:v>
                </c:pt>
                <c:pt idx="1">
                  <c:v>CN26</c:v>
                </c:pt>
                <c:pt idx="2">
                  <c:v>CU26</c:v>
                </c:pt>
                <c:pt idx="3">
                  <c:v>CZ26</c:v>
                </c:pt>
                <c:pt idx="4">
                  <c:v>SQ26</c:v>
                </c:pt>
                <c:pt idx="5">
                  <c:v>SU26</c:v>
                </c:pt>
                <c:pt idx="6">
                  <c:v>SX26</c:v>
                </c:pt>
              </c:strCache>
            </c:strRef>
          </c:cat>
          <c:val>
            <c:numRef>
              <c:f>Dashboard!$C$20:$C$26</c:f>
              <c:numCache>
                <c:formatCode>General</c:formatCode>
                <c:ptCount val="7"/>
                <c:pt idx="0">
                  <c:v>24091</c:v>
                </c:pt>
                <c:pt idx="1">
                  <c:v>34168</c:v>
                </c:pt>
                <c:pt idx="2">
                  <c:v>12000</c:v>
                </c:pt>
                <c:pt idx="3">
                  <c:v>40409</c:v>
                </c:pt>
                <c:pt idx="4">
                  <c:v>4000</c:v>
                </c:pt>
                <c:pt idx="5">
                  <c:v>1670</c:v>
                </c:pt>
                <c:pt idx="6">
                  <c:v>32784</c:v>
                </c:pt>
              </c:numCache>
            </c:numRef>
          </c:val>
          <c:extLst>
            <c:ext xmlns:c16="http://schemas.microsoft.com/office/drawing/2014/chart" uri="{C3380CC4-5D6E-409C-BE32-E72D297353CC}">
              <c16:uniqueId val="{00000000-5C09-4ABC-B88D-E9D8AF435A85}"/>
            </c:ext>
          </c:extLst>
        </c:ser>
        <c:ser>
          <c:idx val="1"/>
          <c:order val="1"/>
          <c:tx>
            <c:strRef>
              <c:f>Dashboard!$D$19</c:f>
              <c:strCache>
                <c:ptCount val="1"/>
                <c:pt idx="0">
                  <c:v>Futures Hedged</c:v>
                </c:pt>
              </c:strCache>
            </c:strRef>
          </c:tx>
          <c:spPr>
            <a:solidFill>
              <a:srgbClr val="BDD7E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Dashboard!$B$20:$B$26</c:f>
              <c:strCache>
                <c:ptCount val="7"/>
                <c:pt idx="0">
                  <c:v>CH26</c:v>
                </c:pt>
                <c:pt idx="1">
                  <c:v>CN26</c:v>
                </c:pt>
                <c:pt idx="2">
                  <c:v>CU26</c:v>
                </c:pt>
                <c:pt idx="3">
                  <c:v>CZ26</c:v>
                </c:pt>
                <c:pt idx="4">
                  <c:v>SQ26</c:v>
                </c:pt>
                <c:pt idx="5">
                  <c:v>SU26</c:v>
                </c:pt>
                <c:pt idx="6">
                  <c:v>SX26</c:v>
                </c:pt>
              </c:strCache>
            </c:strRef>
          </c:cat>
          <c:val>
            <c:numRef>
              <c:f>Dashboard!$D$20:$D$26</c:f>
              <c:numCache>
                <c:formatCode>General</c:formatCode>
                <c:ptCount val="7"/>
                <c:pt idx="0" formatCode="0">
                  <c:v>20000</c:v>
                </c:pt>
                <c:pt idx="1">
                  <c:v>30000</c:v>
                </c:pt>
                <c:pt idx="2">
                  <c:v>10000</c:v>
                </c:pt>
                <c:pt idx="3">
                  <c:v>35000</c:v>
                </c:pt>
                <c:pt idx="4">
                  <c:v>4000</c:v>
                </c:pt>
                <c:pt idx="5">
                  <c:v>0</c:v>
                </c:pt>
                <c:pt idx="6">
                  <c:v>40000</c:v>
                </c:pt>
              </c:numCache>
            </c:numRef>
          </c:val>
          <c:extLst>
            <c:ext xmlns:c16="http://schemas.microsoft.com/office/drawing/2014/chart" uri="{C3380CC4-5D6E-409C-BE32-E72D297353CC}">
              <c16:uniqueId val="{00000002-5C09-4ABC-B88D-E9D8AF435A85}"/>
            </c:ext>
          </c:extLst>
        </c:ser>
        <c:dLbls>
          <c:showLegendKey val="0"/>
          <c:showVal val="0"/>
          <c:showCatName val="0"/>
          <c:showSerName val="0"/>
          <c:showPercent val="0"/>
          <c:showBubbleSize val="0"/>
        </c:dLbls>
        <c:gapWidth val="182"/>
        <c:axId val="1423458823"/>
        <c:axId val="1423460871"/>
      </c:barChart>
      <c:catAx>
        <c:axId val="1423458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60871"/>
        <c:crosses val="autoZero"/>
        <c:auto val="1"/>
        <c:lblAlgn val="ctr"/>
        <c:lblOffset val="100"/>
        <c:noMultiLvlLbl val="0"/>
      </c:catAx>
      <c:valAx>
        <c:axId val="1423460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58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590550</xdr:colOff>
      <xdr:row>23</xdr:row>
      <xdr:rowOff>123825</xdr:rowOff>
    </xdr:from>
    <xdr:to>
      <xdr:col>9</xdr:col>
      <xdr:colOff>38100</xdr:colOff>
      <xdr:row>25</xdr:row>
      <xdr:rowOff>152400</xdr:rowOff>
    </xdr:to>
    <xdr:sp macro="" textlink="">
      <xdr:nvSpPr>
        <xdr:cNvPr id="2" name="TextBox 1">
          <a:extLst>
            <a:ext uri="{FF2B5EF4-FFF2-40B4-BE49-F238E27FC236}">
              <a16:creationId xmlns:a16="http://schemas.microsoft.com/office/drawing/2014/main" id="{CFB9F9A5-9581-6A08-75B6-28821DAB3965}"/>
            </a:ext>
          </a:extLst>
        </xdr:cNvPr>
        <xdr:cNvSpPr txBox="1"/>
      </xdr:nvSpPr>
      <xdr:spPr>
        <a:xfrm>
          <a:off x="3152775" y="4514850"/>
          <a:ext cx="3076575" cy="409575"/>
        </a:xfrm>
        <a:prstGeom prst="rect">
          <a:avLst/>
        </a:prstGeom>
        <a:solidFill>
          <a:schemeClr val="accent4">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Corn standard moisture: 15.0%</a:t>
          </a:r>
        </a:p>
        <a:p>
          <a:pPr marL="0" indent="0" algn="ctr"/>
          <a:r>
            <a:rPr lang="en-US" sz="1100">
              <a:latin typeface="+mn-lt"/>
              <a:ea typeface="+mn-lt"/>
              <a:cs typeface="+mn-lt"/>
            </a:rPr>
            <a:t>Corn standard test weight: 56.0 lb/bu</a:t>
          </a:r>
        </a:p>
        <a:p>
          <a:pPr marL="0" indent="0" algn="l"/>
          <a:endParaRPr lang="en-US" sz="1100">
            <a:latin typeface="+mn-lt"/>
            <a:ea typeface="+mn-lt"/>
            <a:cs typeface="+mn-lt"/>
          </a:endParaRPr>
        </a:p>
      </xdr:txBody>
    </xdr:sp>
    <xdr:clientData/>
  </xdr:twoCellAnchor>
  <xdr:twoCellAnchor>
    <xdr:from>
      <xdr:col>10</xdr:col>
      <xdr:colOff>9525</xdr:colOff>
      <xdr:row>23</xdr:row>
      <xdr:rowOff>114300</xdr:rowOff>
    </xdr:from>
    <xdr:to>
      <xdr:col>13</xdr:col>
      <xdr:colOff>962025</xdr:colOff>
      <xdr:row>25</xdr:row>
      <xdr:rowOff>152400</xdr:rowOff>
    </xdr:to>
    <xdr:sp macro="" textlink="">
      <xdr:nvSpPr>
        <xdr:cNvPr id="3" name="TextBox 2">
          <a:extLst>
            <a:ext uri="{FF2B5EF4-FFF2-40B4-BE49-F238E27FC236}">
              <a16:creationId xmlns:a16="http://schemas.microsoft.com/office/drawing/2014/main" id="{093D0CAE-FC45-C8A9-D3C6-3FB40BF09BED}"/>
            </a:ext>
            <a:ext uri="{147F2762-F138-4A5C-976F-8EAC2B608ADB}">
              <a16:predDERef xmlns:a16="http://schemas.microsoft.com/office/drawing/2014/main" pred="{CFB9F9A5-9581-6A08-75B6-28821DAB3965}"/>
            </a:ext>
          </a:extLst>
        </xdr:cNvPr>
        <xdr:cNvSpPr txBox="1"/>
      </xdr:nvSpPr>
      <xdr:spPr>
        <a:xfrm>
          <a:off x="6810375" y="4505325"/>
          <a:ext cx="2943225" cy="419100"/>
        </a:xfrm>
        <a:prstGeom prst="rect">
          <a:avLst/>
        </a:prstGeom>
        <a:solidFill>
          <a:schemeClr val="accent6">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ctr">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Soybean standard moisture: 13.0%</a:t>
          </a:r>
        </a:p>
        <a:p>
          <a:pPr marL="0" marR="0" indent="0" algn="ctr">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Soybean standard test weight: 60.0 lb/bu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409575</xdr:colOff>
      <xdr:row>3</xdr:row>
      <xdr:rowOff>161925</xdr:rowOff>
    </xdr:from>
    <xdr:to>
      <xdr:col>19</xdr:col>
      <xdr:colOff>285750</xdr:colOff>
      <xdr:row>20</xdr:row>
      <xdr:rowOff>47625</xdr:rowOff>
    </xdr:to>
    <xdr:graphicFrame macro="">
      <xdr:nvGraphicFramePr>
        <xdr:cNvPr id="3" name="Chart 2">
          <a:extLst>
            <a:ext uri="{FF2B5EF4-FFF2-40B4-BE49-F238E27FC236}">
              <a16:creationId xmlns:a16="http://schemas.microsoft.com/office/drawing/2014/main" id="{26F8F897-C794-960E-B1DA-10D79B30E03B}"/>
            </a:ext>
            <a:ext uri="{147F2762-F138-4A5C-976F-8EAC2B608ADB}">
              <a16:predDERef xmlns:a16="http://schemas.microsoft.com/office/drawing/2014/main" pred="{AF26BE57-0025-492E-BDD0-ECA048BF2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xdr:row>
      <xdr:rowOff>133350</xdr:rowOff>
    </xdr:from>
    <xdr:to>
      <xdr:col>8</xdr:col>
      <xdr:colOff>428625</xdr:colOff>
      <xdr:row>20</xdr:row>
      <xdr:rowOff>57150</xdr:rowOff>
    </xdr:to>
    <xdr:graphicFrame macro="">
      <xdr:nvGraphicFramePr>
        <xdr:cNvPr id="5" name="Chart 4">
          <a:extLst>
            <a:ext uri="{FF2B5EF4-FFF2-40B4-BE49-F238E27FC236}">
              <a16:creationId xmlns:a16="http://schemas.microsoft.com/office/drawing/2014/main" id="{1C52FBB1-F160-24D1-4D40-EDB9F9764628}"/>
            </a:ext>
            <a:ext uri="{147F2762-F138-4A5C-976F-8EAC2B608ADB}">
              <a16:predDERef xmlns:a16="http://schemas.microsoft.com/office/drawing/2014/main" pred="{26F8F897-C794-960E-B1DA-10D79B30E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23</xdr:col>
      <xdr:colOff>600075</xdr:colOff>
      <xdr:row>9</xdr:row>
      <xdr:rowOff>0</xdr:rowOff>
    </xdr:to>
    <xdr:sp macro="" textlink="">
      <xdr:nvSpPr>
        <xdr:cNvPr id="2" name="TextBox 1">
          <a:extLst>
            <a:ext uri="{FF2B5EF4-FFF2-40B4-BE49-F238E27FC236}">
              <a16:creationId xmlns:a16="http://schemas.microsoft.com/office/drawing/2014/main" id="{0072E5C4-8561-7607-1C47-D6693998DF8A}"/>
            </a:ext>
          </a:extLst>
        </xdr:cNvPr>
        <xdr:cNvSpPr txBox="1"/>
      </xdr:nvSpPr>
      <xdr:spPr>
        <a:xfrm>
          <a:off x="0" y="200025"/>
          <a:ext cx="14620875" cy="1524000"/>
        </a:xfrm>
        <a:prstGeom prst="rect">
          <a:avLst/>
        </a:prstGeom>
        <a:solidFill>
          <a:schemeClr val="accent5">
            <a:lumMod val="20000"/>
            <a:lumOff val="80000"/>
          </a:schemeClr>
        </a:solidFill>
        <a:ln w="9525" cmpd="sng">
          <a:solidFill>
            <a:schemeClr val="accent1">
              <a:lumMod val="75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This user guide provides an overview of the Commercial Grain Position &amp; Risk Management Systeml, including the purpose, functionality, automated calculations, and operational workflows associated with each workbook tab.</a:t>
          </a:r>
        </a:p>
        <a:p>
          <a:pPr marL="0" indent="0" algn="ctr"/>
          <a:endParaRPr lang="en-US" sz="1100">
            <a:latin typeface="+mn-lt"/>
            <a:ea typeface="+mn-lt"/>
            <a:cs typeface="+mn-lt"/>
          </a:endParaRPr>
        </a:p>
        <a:p>
          <a:pPr marL="0" indent="0" algn="ctr"/>
          <a:r>
            <a:rPr lang="en-US" sz="1100">
              <a:latin typeface="+mn-lt"/>
              <a:ea typeface="+mn-lt"/>
              <a:cs typeface="+mn-lt"/>
            </a:rPr>
            <a:t>The workbook was designed to support grain merchandising and commercial operations by centralizing contract management, scale ticket tracking, quality discount calculations, position monitoring, exception management, and overage contract review. Automated calculations and validation features are incorporated throughout the workbook to improve efficiency, reduce manual errors, and provide real-time visibility into commercial positions and delivery activity.</a:t>
          </a:r>
        </a:p>
        <a:p>
          <a:pPr marL="0" indent="0" algn="ctr"/>
          <a:endParaRPr lang="en-US" sz="1100">
            <a:latin typeface="+mn-lt"/>
            <a:ea typeface="+mn-lt"/>
            <a:cs typeface="+mn-lt"/>
          </a:endParaRPr>
        </a:p>
        <a:p>
          <a:pPr marL="0" indent="0" algn="ctr"/>
          <a:r>
            <a:rPr lang="en-US" sz="1100">
              <a:latin typeface="+mn-lt"/>
              <a:ea typeface="+mn-lt"/>
              <a:cs typeface="+mn-lt"/>
            </a:rPr>
            <a:t>This guide serves as a reference for users to understand workbook functionality, data requirements, automated processes, and recommended workflows for daily commercial operations.</a:t>
          </a:r>
        </a:p>
        <a:p>
          <a:pPr marL="0" indent="0" algn="ctr"/>
          <a:endParaRPr lang="en-US" sz="1100">
            <a:latin typeface="+mn-lt"/>
            <a:ea typeface="+mn-lt"/>
            <a:cs typeface="+mn-lt"/>
          </a:endParaRPr>
        </a:p>
        <a:p>
          <a:pPr marL="0" indent="0" algn="ctr"/>
          <a:endParaRPr lang="en-US" sz="1100">
            <a:latin typeface="+mn-lt"/>
            <a:ea typeface="+mn-lt"/>
            <a:cs typeface="+mn-lt"/>
          </a:endParaRPr>
        </a:p>
        <a:p>
          <a:pPr marL="0" indent="0" algn="ctr"/>
          <a:endParaRPr lang="en-US" sz="1100">
            <a:latin typeface="+mn-lt"/>
            <a:ea typeface="+mn-lt"/>
            <a:cs typeface="+mn-lt"/>
          </a:endParaRPr>
        </a:p>
        <a:p>
          <a:pPr marL="0" indent="0" algn="ctr"/>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0</xdr:col>
      <xdr:colOff>0</xdr:colOff>
      <xdr:row>11</xdr:row>
      <xdr:rowOff>0</xdr:rowOff>
    </xdr:from>
    <xdr:to>
      <xdr:col>11</xdr:col>
      <xdr:colOff>600075</xdr:colOff>
      <xdr:row>74</xdr:row>
      <xdr:rowOff>9525</xdr:rowOff>
    </xdr:to>
    <xdr:sp macro="" textlink="">
      <xdr:nvSpPr>
        <xdr:cNvPr id="3" name="TextBox 2">
          <a:extLst>
            <a:ext uri="{FF2B5EF4-FFF2-40B4-BE49-F238E27FC236}">
              <a16:creationId xmlns:a16="http://schemas.microsoft.com/office/drawing/2014/main" id="{9DD87FA5-78CD-A2DE-71E6-42866DFAC186}"/>
            </a:ext>
            <a:ext uri="{147F2762-F138-4A5C-976F-8EAC2B608ADB}">
              <a16:predDERef xmlns:a16="http://schemas.microsoft.com/office/drawing/2014/main" pred="{0072E5C4-8561-7607-1C47-D6693998DF8A}"/>
            </a:ext>
          </a:extLst>
        </xdr:cNvPr>
        <xdr:cNvSpPr txBox="1"/>
      </xdr:nvSpPr>
      <xdr:spPr>
        <a:xfrm>
          <a:off x="0" y="2305050"/>
          <a:ext cx="7305675" cy="12011025"/>
        </a:xfrm>
        <a:prstGeom prst="rect">
          <a:avLst/>
        </a:prstGeom>
        <a:solidFill>
          <a:schemeClr val="accent6">
            <a:lumMod val="20000"/>
            <a:lumOff val="80000"/>
          </a:schemeClr>
        </a:solidFill>
        <a:ln w="9525" cmpd="sng">
          <a:solidFill>
            <a:schemeClr val="accent6">
              <a:lumMod val="75000"/>
            </a:schemeClr>
          </a:solidFill>
        </a:ln>
      </xdr:spPr>
      <xdr:txBody>
        <a:bodyPr spcFirstLastPara="0" vertOverflow="clip" horzOverflow="clip" wrap="square" lIns="91440" tIns="45720" rIns="91440" bIns="45720" rtlCol="0" anchor="t">
          <a:noAutofit/>
        </a:bodyPr>
        <a:lstStyle/>
        <a:p>
          <a:pPr marL="0" indent="0" algn="l"/>
          <a:r>
            <a:rPr lang="en-US" sz="1100" b="1" u="sng">
              <a:latin typeface="+mn-lt"/>
              <a:ea typeface="+mn-lt"/>
              <a:cs typeface="+mn-lt"/>
            </a:rPr>
            <a:t>Purpose</a:t>
          </a:r>
          <a:endParaRPr lang="en-US" sz="1100">
            <a:latin typeface="+mn-lt"/>
            <a:ea typeface="+mn-lt"/>
            <a:cs typeface="+mn-lt"/>
          </a:endParaRPr>
        </a:p>
        <a:p>
          <a:pPr marL="0" indent="0" algn="l"/>
          <a:r>
            <a:rPr lang="en-US" sz="1100">
              <a:latin typeface="+mn-lt"/>
              <a:ea typeface="+mn-lt"/>
              <a:cs typeface="+mn-lt"/>
            </a:rPr>
            <a:t>The Purchase Contracts tab serves as the central contract management hub for all grain purchase contracts. It stores contract details, pricing information, delivery locations, and contract fulfillment progress while automatically calculating key commercial metrics.</a:t>
          </a:r>
          <a:endParaRPr lang="en-US" sz="1100" b="1" i="0" u="sng">
            <a:latin typeface="+mn-lt"/>
            <a:ea typeface="+mn-lt"/>
            <a:cs typeface="+mn-lt"/>
          </a:endParaRPr>
        </a:p>
        <a:p>
          <a:pPr marL="0" indent="0" algn="l"/>
          <a:endParaRPr lang="en-US" sz="1100" b="1" i="0" u="sng">
            <a:latin typeface="+mn-lt"/>
            <a:ea typeface="+mn-lt"/>
            <a:cs typeface="+mn-lt"/>
          </a:endParaRPr>
        </a:p>
        <a:p>
          <a:pPr marL="0" indent="0" algn="l"/>
          <a:endParaRPr lang="en-US" sz="1100" b="1" i="0" u="sng">
            <a:latin typeface="+mn-lt"/>
            <a:ea typeface="+mn-lt"/>
            <a:cs typeface="+mn-lt"/>
          </a:endParaRPr>
        </a:p>
        <a:p>
          <a:pPr marL="0" indent="0" algn="l"/>
          <a:r>
            <a:rPr lang="en-US" sz="1100" b="1" i="0" u="sng">
              <a:latin typeface="+mn-lt"/>
              <a:ea typeface="+mn-lt"/>
              <a:cs typeface="+mn-lt"/>
            </a:rPr>
            <a:t>Required Inputs</a:t>
          </a:r>
          <a:endParaRPr lang="en-US" sz="1100">
            <a:latin typeface="+mn-lt"/>
            <a:ea typeface="+mn-lt"/>
            <a:cs typeface="+mn-lt"/>
          </a:endParaRPr>
        </a:p>
        <a:p>
          <a:pPr marL="0" indent="0" algn="l"/>
          <a:r>
            <a:rPr lang="en-US" sz="1100">
              <a:latin typeface="+mn-lt"/>
              <a:ea typeface="+mn-lt"/>
              <a:cs typeface="+mn-lt"/>
            </a:rPr>
            <a:t>Users enter the following information when creating a new contract:</a:t>
          </a:r>
          <a:endParaRPr lang="en-US" sz="1100" b="0">
            <a:latin typeface="+mn-lt"/>
            <a:ea typeface="+mn-lt"/>
            <a:cs typeface="+mn-lt"/>
          </a:endParaRPr>
        </a:p>
        <a:p>
          <a:pPr marL="0" indent="0" algn="l"/>
          <a:r>
            <a:rPr lang="en-US" sz="1100" b="0">
              <a:latin typeface="+mn-lt"/>
              <a:ea typeface="+mn-lt"/>
              <a:cs typeface="+mn-lt"/>
            </a:rPr>
            <a:t>* Contract Number</a:t>
          </a:r>
        </a:p>
        <a:p>
          <a:pPr marL="0" indent="0" algn="l"/>
          <a:r>
            <a:rPr lang="en-US" sz="1100" b="0">
              <a:latin typeface="+mn-lt"/>
              <a:ea typeface="+mn-lt"/>
              <a:cs typeface="+mn-lt"/>
            </a:rPr>
            <a:t>* Customer Name</a:t>
          </a:r>
        </a:p>
        <a:p>
          <a:pPr marL="0" indent="0" algn="l"/>
          <a:r>
            <a:rPr lang="en-US" sz="1100" b="0">
              <a:latin typeface="+mn-lt"/>
              <a:ea typeface="+mn-lt"/>
              <a:cs typeface="+mn-lt"/>
            </a:rPr>
            <a:t>* Commodity</a:t>
          </a:r>
        </a:p>
        <a:p>
          <a:pPr marL="0" indent="0" algn="l"/>
          <a:r>
            <a:rPr lang="en-US" sz="1100" b="0">
              <a:latin typeface="+mn-lt"/>
              <a:ea typeface="+mn-lt"/>
              <a:cs typeface="+mn-lt"/>
            </a:rPr>
            <a:t>* Delivery Location</a:t>
          </a:r>
        </a:p>
        <a:p>
          <a:pPr marL="0" indent="0" algn="l"/>
          <a:r>
            <a:rPr lang="en-US" sz="1100" b="0">
              <a:latin typeface="+mn-lt"/>
              <a:ea typeface="+mn-lt"/>
              <a:cs typeface="+mn-lt"/>
            </a:rPr>
            <a:t>* Delivery Period</a:t>
          </a:r>
        </a:p>
        <a:p>
          <a:pPr marL="0" indent="0" algn="l"/>
          <a:r>
            <a:rPr lang="en-US" sz="1100" b="0">
              <a:latin typeface="+mn-lt"/>
              <a:ea typeface="+mn-lt"/>
              <a:cs typeface="+mn-lt"/>
            </a:rPr>
            <a:t>* Futures Code</a:t>
          </a:r>
        </a:p>
        <a:p>
          <a:pPr marL="0" indent="0" algn="l"/>
          <a:r>
            <a:rPr lang="en-US" sz="1100" b="0">
              <a:latin typeface="+mn-lt"/>
              <a:ea typeface="+mn-lt"/>
              <a:cs typeface="+mn-lt"/>
            </a:rPr>
            <a:t>* Futures Price</a:t>
          </a:r>
        </a:p>
        <a:p>
          <a:pPr marL="0" indent="0" algn="l"/>
          <a:r>
            <a:rPr lang="en-US" sz="1100" b="0">
              <a:latin typeface="+mn-lt"/>
              <a:ea typeface="+mn-lt"/>
              <a:cs typeface="+mn-lt"/>
            </a:rPr>
            <a:t>* Contracted Bushels</a:t>
          </a:r>
          <a:endParaRPr lang="en-US" sz="1100" b="1" u="sng">
            <a:latin typeface="+mn-lt"/>
            <a:ea typeface="+mn-lt"/>
            <a:cs typeface="+mn-lt"/>
          </a:endParaRPr>
        </a:p>
        <a:p>
          <a:pPr marL="0" indent="0" algn="l"/>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Automated Calculations</a:t>
          </a:r>
          <a:endParaRPr lang="en-US" sz="1100" b="1" u="none">
            <a:latin typeface="+mn-lt"/>
            <a:ea typeface="+mn-lt"/>
            <a:cs typeface="+mn-lt"/>
          </a:endParaRPr>
        </a:p>
        <a:p>
          <a:pPr marL="0" indent="0" algn="l"/>
          <a:r>
            <a:rPr lang="en-US" sz="1100" b="1" u="none">
              <a:latin typeface="+mn-lt"/>
              <a:ea typeface="+mn-lt"/>
              <a:cs typeface="+mn-lt"/>
            </a:rPr>
            <a:t>- Commodity Color Coding</a:t>
          </a:r>
          <a:endParaRPr lang="en-US" sz="1100" b="0" u="none">
            <a:latin typeface="+mn-lt"/>
            <a:ea typeface="+mn-lt"/>
            <a:cs typeface="+mn-lt"/>
          </a:endParaRPr>
        </a:p>
        <a:p>
          <a:pPr marL="0" indent="0" algn="l"/>
          <a:r>
            <a:rPr lang="en-US" sz="1100" b="0" u="none">
              <a:latin typeface="+mn-lt"/>
              <a:ea typeface="+mn-lt"/>
              <a:cs typeface="+mn-lt"/>
            </a:rPr>
            <a:t>Contracts automatically change color based on commodity type.</a:t>
          </a:r>
          <a:endParaRPr lang="en-US" sz="1100" b="0" i="1" u="none">
            <a:latin typeface="+mn-lt"/>
            <a:ea typeface="+mn-lt"/>
            <a:cs typeface="+mn-lt"/>
          </a:endParaRPr>
        </a:p>
        <a:p>
          <a:pPr marL="0" indent="0" algn="l"/>
          <a:r>
            <a:rPr lang="en-US" sz="1100" b="0" i="1" u="none">
              <a:latin typeface="+mn-lt"/>
              <a:ea typeface="+mn-lt"/>
              <a:cs typeface="+mn-lt"/>
            </a:rPr>
            <a:t>Logic: Contract numbers beginning with "C" are highlighted yellow (Corn). Contract numbers beginning with "S" are highlighted green (Soybeans).</a:t>
          </a:r>
          <a:endParaRPr lang="en-US" sz="1100" b="0" i="0" u="none">
            <a:latin typeface="+mn-lt"/>
            <a:ea typeface="+mn-lt"/>
            <a:cs typeface="+mn-lt"/>
          </a:endParaRPr>
        </a:p>
        <a:p>
          <a:pPr marL="0" indent="0" algn="l"/>
          <a:endParaRPr lang="en-US" sz="1100" b="0" i="0" u="none">
            <a:latin typeface="+mn-lt"/>
            <a:ea typeface="+mn-lt"/>
            <a:cs typeface="+mn-lt"/>
          </a:endParaRPr>
        </a:p>
        <a:p>
          <a:pPr marL="0" indent="0" algn="l"/>
          <a:r>
            <a:rPr lang="en-US" sz="1100" b="0" i="0" u="none">
              <a:latin typeface="+mn-lt"/>
              <a:ea typeface="+mn-lt"/>
              <a:cs typeface="+mn-lt"/>
            </a:rPr>
            <a:t>- </a:t>
          </a:r>
          <a:r>
            <a:rPr lang="en-US" sz="1100" b="1" i="0" u="none">
              <a:latin typeface="+mn-lt"/>
              <a:ea typeface="+mn-lt"/>
              <a:cs typeface="+mn-lt"/>
            </a:rPr>
            <a:t>Basis</a:t>
          </a:r>
        </a:p>
        <a:p>
          <a:pPr marL="0" indent="0" algn="l"/>
          <a:r>
            <a:rPr lang="en-US" sz="1100" b="1" i="0" u="none">
              <a:latin typeface="+mn-lt"/>
              <a:ea typeface="+mn-lt"/>
              <a:cs typeface="+mn-lt"/>
            </a:rPr>
            <a:t>Basis</a:t>
          </a:r>
          <a:r>
            <a:rPr lang="en-US" sz="1100" b="0" i="0" u="none">
              <a:latin typeface="+mn-lt"/>
              <a:ea typeface="+mn-lt"/>
              <a:cs typeface="+mn-lt"/>
            </a:rPr>
            <a:t> is automatically populated using the Posted Basis Table.</a:t>
          </a:r>
          <a:endParaRPr lang="en-US" sz="1100" b="0" i="1" u="none">
            <a:latin typeface="+mn-lt"/>
            <a:ea typeface="+mn-lt"/>
            <a:cs typeface="+mn-lt"/>
          </a:endParaRPr>
        </a:p>
        <a:p>
          <a:pPr marL="0" indent="0" algn="l"/>
          <a:r>
            <a:rPr lang="en-US" sz="1100" b="0" i="1" u="none">
              <a:latin typeface="+mn-lt"/>
              <a:ea typeface="+mn-lt"/>
              <a:cs typeface="+mn-lt"/>
            </a:rPr>
            <a:t>Logic: The system matches the contract's Commodity and Delivery Period to the corresponding value in the Posted Basis Table.</a:t>
          </a:r>
          <a:endParaRPr lang="en-US" sz="1100" b="0" i="0" u="none">
            <a:latin typeface="+mn-lt"/>
            <a:ea typeface="+mn-lt"/>
            <a:cs typeface="+mn-lt"/>
          </a:endParaRPr>
        </a:p>
        <a:p>
          <a:pPr marL="0" indent="0" algn="l"/>
          <a:r>
            <a:rPr lang="en-US" sz="1100" b="0" i="0" u="none">
              <a:latin typeface="+mn-lt"/>
              <a:ea typeface="+mn-lt"/>
              <a:cs typeface="+mn-lt"/>
            </a:rPr>
            <a:t>This eliminates manual basis entry, ensures pricing consistency across all contracts and reduces contract pricing errors.</a:t>
          </a:r>
          <a:endParaRPr lang="en-US" sz="1100" b="1" i="0" u="none">
            <a:latin typeface="+mn-lt"/>
            <a:ea typeface="+mn-lt"/>
            <a:cs typeface="+mn-lt"/>
          </a:endParaRPr>
        </a:p>
        <a:p>
          <a:pPr marL="0" indent="0" algn="l"/>
          <a:endParaRPr lang="en-US" sz="1100" b="1" u="none">
            <a:latin typeface="+mn-lt"/>
            <a:ea typeface="+mn-lt"/>
            <a:cs typeface="+mn-lt"/>
          </a:endParaRPr>
        </a:p>
        <a:p>
          <a:pPr marL="0" indent="0" algn="l"/>
          <a:r>
            <a:rPr lang="en-US" sz="1100" b="1" u="none">
              <a:latin typeface="+mn-lt"/>
              <a:ea typeface="+mn-lt"/>
              <a:cs typeface="+mn-lt"/>
            </a:rPr>
            <a:t>- Cash Price</a:t>
          </a:r>
          <a:endParaRPr lang="en-US" sz="1100" b="0" u="none">
            <a:latin typeface="+mn-lt"/>
            <a:ea typeface="+mn-lt"/>
            <a:cs typeface="+mn-lt"/>
          </a:endParaRPr>
        </a:p>
        <a:p>
          <a:pPr marL="0" indent="0" algn="l"/>
          <a:r>
            <a:rPr lang="en-US" sz="1100" b="0" u="none">
              <a:latin typeface="+mn-lt"/>
              <a:ea typeface="+mn-lt"/>
              <a:cs typeface="+mn-lt"/>
            </a:rPr>
            <a:t>The Cash Price field is calculated automatically.</a:t>
          </a:r>
          <a:endParaRPr lang="en-US" sz="1100" b="0" i="1" u="none">
            <a:latin typeface="+mn-lt"/>
            <a:ea typeface="+mn-lt"/>
            <a:cs typeface="+mn-lt"/>
          </a:endParaRPr>
        </a:p>
        <a:p>
          <a:pPr marL="0" indent="0" algn="l"/>
          <a:r>
            <a:rPr lang="en-US" sz="1100" b="0" i="1" u="none">
              <a:latin typeface="+mn-lt"/>
              <a:ea typeface="+mn-lt"/>
              <a:cs typeface="+mn-lt"/>
            </a:rPr>
            <a:t>Formula: Cash Price = Futures Price + Basis</a:t>
          </a:r>
          <a:endParaRPr lang="en-US" sz="1100" b="0" u="none">
            <a:latin typeface="+mn-lt"/>
            <a:ea typeface="+mn-lt"/>
            <a:cs typeface="+mn-lt"/>
          </a:endParaRPr>
        </a:p>
        <a:p>
          <a:pPr marL="0" indent="0" algn="l"/>
          <a:r>
            <a:rPr lang="en-US" sz="1100" b="0" u="none">
              <a:latin typeface="+mn-lt"/>
              <a:ea typeface="+mn-lt"/>
              <a:cs typeface="+mn-lt"/>
            </a:rPr>
            <a:t>This eliminates manual pricing calculations and ensures consistency across all contracts.</a:t>
          </a:r>
          <a:endParaRPr lang="en-US" sz="1100" b="1" u="none">
            <a:latin typeface="+mn-lt"/>
            <a:ea typeface="+mn-lt"/>
            <a:cs typeface="+mn-lt"/>
          </a:endParaRPr>
        </a:p>
        <a:p>
          <a:pPr marL="0" indent="0" algn="l"/>
          <a:endParaRPr lang="en-US" sz="1100" b="1" u="none">
            <a:latin typeface="+mn-lt"/>
            <a:ea typeface="+mn-lt"/>
            <a:cs typeface="+mn-lt"/>
          </a:endParaRPr>
        </a:p>
        <a:p>
          <a:pPr marL="0" indent="0" algn="l"/>
          <a:r>
            <a:rPr lang="en-US" sz="1100" b="1" u="none">
              <a:latin typeface="+mn-lt"/>
              <a:ea typeface="+mn-lt"/>
              <a:cs typeface="+mn-lt"/>
            </a:rPr>
            <a:t>- Delivered Bushels</a:t>
          </a:r>
          <a:endParaRPr lang="en-US" sz="1100" b="0" u="none">
            <a:latin typeface="+mn-lt"/>
            <a:ea typeface="+mn-lt"/>
            <a:cs typeface="+mn-lt"/>
          </a:endParaRPr>
        </a:p>
        <a:p>
          <a:pPr marL="0" indent="0" algn="l"/>
          <a:r>
            <a:rPr lang="en-US" sz="1100" b="0" u="none">
              <a:latin typeface="+mn-lt"/>
              <a:ea typeface="+mn-lt"/>
              <a:cs typeface="+mn-lt"/>
            </a:rPr>
            <a:t>Delivered Bushels are automatically populated from the Inbound Scale Tickets tab.</a:t>
          </a:r>
          <a:endParaRPr lang="en-US" sz="1100" b="0" i="1" u="none">
            <a:latin typeface="+mn-lt"/>
            <a:ea typeface="+mn-lt"/>
            <a:cs typeface="+mn-lt"/>
          </a:endParaRPr>
        </a:p>
        <a:p>
          <a:pPr marL="0" indent="0" algn="l"/>
          <a:r>
            <a:rPr lang="en-US" sz="1100" b="0" i="1" u="none">
              <a:latin typeface="+mn-lt"/>
              <a:ea typeface="+mn-lt"/>
              <a:cs typeface="+mn-lt"/>
            </a:rPr>
            <a:t>Logic: The system sums all ticket bushels associated with the contract number.</a:t>
          </a:r>
          <a:endParaRPr lang="en-US" sz="1100" b="0" u="none">
            <a:latin typeface="+mn-lt"/>
            <a:ea typeface="+mn-lt"/>
            <a:cs typeface="+mn-lt"/>
          </a:endParaRPr>
        </a:p>
        <a:p>
          <a:pPr marL="0" indent="0" algn="l"/>
          <a:r>
            <a:rPr lang="en-US" sz="1100" b="0" u="none">
              <a:latin typeface="+mn-lt"/>
              <a:ea typeface="+mn-lt"/>
              <a:cs typeface="+mn-lt"/>
            </a:rPr>
            <a:t>This provides up to date delivery tracking, eliminates manual delivery reconciliation and keeps contract balances current.</a:t>
          </a:r>
          <a:endParaRPr lang="en-US" sz="1100" b="1" u="none">
            <a:latin typeface="+mn-lt"/>
            <a:ea typeface="+mn-lt"/>
            <a:cs typeface="+mn-lt"/>
          </a:endParaRPr>
        </a:p>
        <a:p>
          <a:pPr marL="0" indent="0" algn="l"/>
          <a:endParaRPr lang="en-US" sz="1100" b="1" u="none">
            <a:latin typeface="+mn-lt"/>
            <a:ea typeface="+mn-lt"/>
            <a:cs typeface="+mn-lt"/>
          </a:endParaRPr>
        </a:p>
        <a:p>
          <a:pPr marL="0" indent="0" algn="l"/>
          <a:r>
            <a:rPr lang="en-US" sz="1100" b="1" u="none">
              <a:latin typeface="+mn-lt"/>
              <a:ea typeface="+mn-lt"/>
              <a:cs typeface="+mn-lt"/>
            </a:rPr>
            <a:t>- Remaining Bushels</a:t>
          </a:r>
          <a:endParaRPr lang="en-US" sz="1100" b="0" u="none">
            <a:latin typeface="+mn-lt"/>
            <a:ea typeface="+mn-lt"/>
            <a:cs typeface="+mn-lt"/>
          </a:endParaRPr>
        </a:p>
        <a:p>
          <a:pPr marL="0" indent="0" algn="l"/>
          <a:r>
            <a:rPr lang="en-US" sz="1100" b="0" u="none">
              <a:latin typeface="+mn-lt"/>
              <a:ea typeface="+mn-lt"/>
              <a:cs typeface="+mn-lt"/>
            </a:rPr>
            <a:t>The Remaining Bushels field is calculated automatically based on contracted volume and delivered volume.</a:t>
          </a:r>
          <a:endParaRPr lang="en-US" sz="1100" b="0" i="1" u="none">
            <a:latin typeface="+mn-lt"/>
            <a:ea typeface="+mn-lt"/>
            <a:cs typeface="+mn-lt"/>
          </a:endParaRPr>
        </a:p>
        <a:p>
          <a:pPr marL="0" indent="0" algn="l"/>
          <a:r>
            <a:rPr lang="en-US" sz="1100" b="0" i="1" u="none">
              <a:latin typeface="+mn-lt"/>
              <a:ea typeface="+mn-lt"/>
              <a:cs typeface="+mn-lt"/>
            </a:rPr>
            <a:t>Formula: Remaining Bushels = Contracted Bushels - Delivered Bushels</a:t>
          </a:r>
        </a:p>
        <a:p>
          <a:pPr marL="0" indent="0" algn="l"/>
          <a:r>
            <a:rPr lang="en-US" sz="1100" b="0" u="none">
              <a:latin typeface="+mn-lt"/>
              <a:ea typeface="+mn-lt"/>
              <a:cs typeface="+mn-lt"/>
            </a:rPr>
            <a:t>This provides real-time visibility into outstanding contract obligations and eliminates manual reconciliation.</a:t>
          </a:r>
          <a:endParaRPr lang="en-US" sz="1100" b="1" u="none">
            <a:latin typeface="+mn-lt"/>
            <a:ea typeface="+mn-lt"/>
            <a:cs typeface="+mn-lt"/>
          </a:endParaRPr>
        </a:p>
        <a:p>
          <a:pPr marL="0" indent="0" algn="l"/>
          <a:endParaRPr lang="en-US" sz="1100" b="1" u="none">
            <a:latin typeface="+mn-lt"/>
            <a:ea typeface="+mn-lt"/>
            <a:cs typeface="+mn-lt"/>
          </a:endParaRPr>
        </a:p>
        <a:p>
          <a:pPr marL="0" indent="0" algn="l"/>
          <a:r>
            <a:rPr lang="en-US" sz="1100" b="1" u="none">
              <a:latin typeface="+mn-lt"/>
              <a:ea typeface="+mn-lt"/>
              <a:cs typeface="+mn-lt"/>
            </a:rPr>
            <a:t>- Fill Percentage</a:t>
          </a:r>
          <a:endParaRPr lang="en-US" sz="1100" b="0" u="none">
            <a:latin typeface="+mn-lt"/>
            <a:ea typeface="+mn-lt"/>
            <a:cs typeface="+mn-lt"/>
          </a:endParaRPr>
        </a:p>
        <a:p>
          <a:pPr marL="0" indent="0" algn="l"/>
          <a:r>
            <a:rPr lang="en-US" sz="1100" b="0" u="none">
              <a:latin typeface="+mn-lt"/>
              <a:ea typeface="+mn-lt"/>
              <a:cs typeface="+mn-lt"/>
            </a:rPr>
            <a:t>The Fill Percentage field is calculated automatically to display contract fulfillment progress.</a:t>
          </a:r>
          <a:endParaRPr lang="en-US" sz="1100" b="0" i="1" u="none">
            <a:latin typeface="+mn-lt"/>
            <a:ea typeface="+mn-lt"/>
            <a:cs typeface="+mn-lt"/>
          </a:endParaRPr>
        </a:p>
        <a:p>
          <a:pPr marL="0" indent="0" algn="l"/>
          <a:r>
            <a:rPr lang="en-US" sz="1100" b="0" i="1" u="none">
              <a:latin typeface="+mn-lt"/>
              <a:ea typeface="+mn-lt"/>
              <a:cs typeface="+mn-lt"/>
            </a:rPr>
            <a:t>Formula: Fill % = Delivered Bushels ÷ Contracted Bushels</a:t>
          </a:r>
          <a:endParaRPr lang="en-US" sz="1100" b="0" u="none">
            <a:latin typeface="+mn-lt"/>
            <a:ea typeface="+mn-lt"/>
            <a:cs typeface="+mn-lt"/>
          </a:endParaRPr>
        </a:p>
        <a:p>
          <a:pPr marL="0" indent="0" algn="l"/>
          <a:r>
            <a:rPr lang="en-US" sz="1100" b="0" u="none">
              <a:latin typeface="+mn-lt"/>
              <a:ea typeface="+mn-lt"/>
              <a:cs typeface="+mn-lt"/>
            </a:rPr>
            <a:t>This allows users to quickly identify contracts nearing completion and monitor delivery progress relative to contracted volume.</a:t>
          </a:r>
          <a:endParaRPr lang="en-US" sz="1100" b="1" u="sng">
            <a:latin typeface="+mn-lt"/>
            <a:ea typeface="+mn-lt"/>
            <a:cs typeface="+mn-lt"/>
          </a:endParaRPr>
        </a:p>
        <a:p>
          <a:pPr marL="0" indent="0" algn="l"/>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Reference Data Tables</a:t>
          </a:r>
          <a:endParaRPr lang="en-US" sz="1100" b="0" u="none">
            <a:latin typeface="+mn-lt"/>
            <a:ea typeface="+mn-lt"/>
            <a:cs typeface="+mn-lt"/>
          </a:endParaRPr>
        </a:p>
        <a:p>
          <a:pPr marL="0" indent="0" algn="l"/>
          <a:r>
            <a:rPr lang="en-US" sz="1100" b="0" u="none">
              <a:latin typeface="+mn-lt"/>
              <a:ea typeface="+mn-lt"/>
              <a:cs typeface="+mn-lt"/>
            </a:rPr>
            <a:t>- Posted Basis Table</a:t>
          </a:r>
        </a:p>
        <a:p>
          <a:pPr marL="0" indent="0" algn="l"/>
          <a:r>
            <a:rPr lang="en-US" sz="1100" b="0" u="none">
              <a:latin typeface="+mn-lt"/>
              <a:ea typeface="+mn-lt"/>
              <a:cs typeface="+mn-lt"/>
            </a:rPr>
            <a:t>The Basis Reference table stores standard corn and soybean basis values by delivery period.</a:t>
          </a:r>
        </a:p>
        <a:p>
          <a:pPr marL="0" indent="0" algn="l"/>
          <a:r>
            <a:rPr lang="en-US" sz="1100" b="0" u="none">
              <a:latin typeface="+mn-lt"/>
              <a:ea typeface="+mn-lt"/>
              <a:cs typeface="+mn-lt"/>
            </a:rPr>
            <a:t>This provides a quick reference for contract creation and ensures pricing assumptions remain consistent across the workbook.</a:t>
          </a:r>
          <a:endParaRPr lang="en-US" sz="1100" b="1" u="sng">
            <a:latin typeface="+mn-lt"/>
            <a:ea typeface="+mn-lt"/>
            <a:cs typeface="+mn-lt"/>
          </a:endParaRPr>
        </a:p>
        <a:p>
          <a:pPr marL="0" indent="0" algn="l"/>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Operational Benefits</a:t>
          </a:r>
          <a:endParaRPr lang="en-US" sz="1100" b="0" u="none">
            <a:latin typeface="+mn-lt"/>
            <a:ea typeface="+mn-lt"/>
            <a:cs typeface="+mn-lt"/>
          </a:endParaRPr>
        </a:p>
        <a:p>
          <a:pPr marL="0" indent="0" algn="l"/>
          <a:r>
            <a:rPr lang="en-US" sz="1100" b="0" u="none">
              <a:latin typeface="+mn-lt"/>
              <a:ea typeface="+mn-lt"/>
              <a:cs typeface="+mn-lt"/>
            </a:rPr>
            <a:t>- Centralized Contract Management</a:t>
          </a:r>
        </a:p>
        <a:p>
          <a:pPr marL="0" indent="0" algn="l"/>
          <a:r>
            <a:rPr lang="en-US" sz="1100" b="0" u="none">
              <a:latin typeface="+mn-lt"/>
              <a:ea typeface="+mn-lt"/>
              <a:cs typeface="+mn-lt"/>
            </a:rPr>
            <a:t>All contract information is maintained within a single location, providing visibility into customer commitments, delivery obligations, and commercial exposure.</a:t>
          </a:r>
        </a:p>
        <a:p>
          <a:pPr marL="0" indent="0" algn="l"/>
          <a:endParaRPr lang="en-US" sz="1100" b="0" u="none">
            <a:latin typeface="+mn-lt"/>
            <a:ea typeface="+mn-lt"/>
            <a:cs typeface="+mn-lt"/>
          </a:endParaRPr>
        </a:p>
        <a:p>
          <a:pPr marL="0" indent="0" algn="l"/>
          <a:r>
            <a:rPr lang="en-US" sz="1100" b="0" u="none">
              <a:latin typeface="+mn-lt"/>
              <a:ea typeface="+mn-lt"/>
              <a:cs typeface="+mn-lt"/>
            </a:rPr>
            <a:t>- Real-Time Position Visibility</a:t>
          </a:r>
        </a:p>
        <a:p>
          <a:pPr marL="0" indent="0" algn="l"/>
          <a:r>
            <a:rPr lang="en-US" sz="1100" b="0" u="none">
              <a:latin typeface="+mn-lt"/>
              <a:ea typeface="+mn-lt"/>
              <a:cs typeface="+mn-lt"/>
            </a:rPr>
            <a:t>As deliveries are entered through the Inbound Scale Tickets tab, Delivered Bushels, Remaining Bushels, and Fill Percentage update automatically. This provides real-time visibility into contract fulfillment and outstanding delivery obligations.</a:t>
          </a:r>
        </a:p>
        <a:p>
          <a:pPr marL="0" indent="0" algn="l"/>
          <a:endParaRPr lang="en-US" sz="1100" b="0" u="none">
            <a:latin typeface="+mn-lt"/>
            <a:ea typeface="+mn-lt"/>
            <a:cs typeface="+mn-lt"/>
          </a:endParaRPr>
        </a:p>
        <a:p>
          <a:pPr marL="0" indent="0" algn="l"/>
          <a:r>
            <a:rPr lang="en-US" sz="1100" b="0" u="none">
              <a:latin typeface="+mn-lt"/>
              <a:ea typeface="+mn-lt"/>
              <a:cs typeface="+mn-lt"/>
            </a:rPr>
            <a:t>- Reduced Manual Entry Risk</a:t>
          </a:r>
        </a:p>
        <a:p>
          <a:pPr marL="0" indent="0" algn="l"/>
          <a:r>
            <a:rPr lang="en-US" sz="1100" b="0" u="none">
              <a:latin typeface="+mn-lt"/>
              <a:ea typeface="+mn-lt"/>
              <a:cs typeface="+mn-lt"/>
            </a:rPr>
            <a:t>Automated calculations reduce spreadsheet errors by eliminating manual calculations for cash pricing, contract balances, and fulfillment percentages.</a:t>
          </a:r>
        </a:p>
        <a:p>
          <a:pPr marL="0" indent="0" algn="l"/>
          <a:endParaRPr lang="en-US" sz="1100" b="0" u="none">
            <a:latin typeface="+mn-lt"/>
            <a:ea typeface="+mn-lt"/>
            <a:cs typeface="+mn-lt"/>
          </a:endParaRPr>
        </a:p>
        <a:p>
          <a:pPr marL="0" indent="0" algn="l"/>
          <a:endParaRPr lang="en-US" sz="1100" b="0" u="none">
            <a:latin typeface="+mn-lt"/>
            <a:ea typeface="+mn-lt"/>
            <a:cs typeface="+mn-lt"/>
          </a:endParaRPr>
        </a:p>
      </xdr:txBody>
    </xdr:sp>
    <xdr:clientData/>
  </xdr:twoCellAnchor>
  <xdr:twoCellAnchor>
    <xdr:from>
      <xdr:col>12</xdr:col>
      <xdr:colOff>0</xdr:colOff>
      <xdr:row>11</xdr:row>
      <xdr:rowOff>9525</xdr:rowOff>
    </xdr:from>
    <xdr:to>
      <xdr:col>23</xdr:col>
      <xdr:colOff>590550</xdr:colOff>
      <xdr:row>70</xdr:row>
      <xdr:rowOff>9525</xdr:rowOff>
    </xdr:to>
    <xdr:sp macro="" textlink="">
      <xdr:nvSpPr>
        <xdr:cNvPr id="4" name="TextBox 3">
          <a:extLst>
            <a:ext uri="{FF2B5EF4-FFF2-40B4-BE49-F238E27FC236}">
              <a16:creationId xmlns:a16="http://schemas.microsoft.com/office/drawing/2014/main" id="{2C413CEA-F35D-298D-C997-45A8A6863B2B}"/>
            </a:ext>
            <a:ext uri="{147F2762-F138-4A5C-976F-8EAC2B608ADB}">
              <a16:predDERef xmlns:a16="http://schemas.microsoft.com/office/drawing/2014/main" pred="{9DD87FA5-78CD-A2DE-71E6-42866DFAC186}"/>
            </a:ext>
          </a:extLst>
        </xdr:cNvPr>
        <xdr:cNvSpPr txBox="1"/>
      </xdr:nvSpPr>
      <xdr:spPr>
        <a:xfrm>
          <a:off x="7315200" y="2314575"/>
          <a:ext cx="7296150" cy="11239500"/>
        </a:xfrm>
        <a:prstGeom prst="rect">
          <a:avLst/>
        </a:prstGeom>
        <a:solidFill>
          <a:schemeClr val="accent4">
            <a:lumMod val="20000"/>
            <a:lumOff val="80000"/>
          </a:schemeClr>
        </a:solidFill>
        <a:ln w="9525" cmpd="sng">
          <a:solidFill>
            <a:schemeClr val="lt1">
              <a:shade val="50000"/>
            </a:schemeClr>
          </a:solidFill>
        </a:ln>
      </xdr:spPr>
      <xdr:txBody>
        <a:bodyPr vertOverflow="clip" horzOverflow="clip" rtlCol="0" anchor="t"/>
        <a:lstStyle/>
        <a:p>
          <a:pPr marL="0" indent="0" algn="l"/>
          <a:r>
            <a:rPr lang="en-US" sz="1100" b="1" u="sng">
              <a:latin typeface="+mn-lt"/>
              <a:ea typeface="+mn-lt"/>
              <a:cs typeface="+mn-lt"/>
            </a:rPr>
            <a:t>Purpose</a:t>
          </a:r>
          <a:endParaRPr lang="en-US" sz="1100">
            <a:latin typeface="+mn-lt"/>
            <a:ea typeface="+mn-lt"/>
            <a:cs typeface="+mn-lt"/>
          </a:endParaRPr>
        </a:p>
        <a:p>
          <a:pPr marL="0" indent="0" algn="l"/>
          <a:r>
            <a:rPr lang="en-US" sz="1100">
              <a:latin typeface="+mn-lt"/>
              <a:ea typeface="+mn-lt"/>
              <a:cs typeface="+mn-lt"/>
            </a:rPr>
            <a:t>The Inbound Scale Tickets tab is designed to capture and process grain delivery information received from scale house operations. In a production environment, ticket data would be transmitted directly from scale house software and integrated into the workbook automatically, minimizing manual data entry and improving operational efficiency. The tab stores delivery details, quality measurements, and weight information while automatically calculating net weight, dockage, and net bushels for downstream contract fulfillment and position reporting.</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Required Inputs</a:t>
          </a:r>
        </a:p>
        <a:p>
          <a:pPr marL="0" indent="0" algn="l"/>
          <a:r>
            <a:rPr lang="en-US" sz="1100">
              <a:latin typeface="+mn-lt"/>
              <a:ea typeface="+mn-lt"/>
              <a:cs typeface="+mn-lt"/>
            </a:rPr>
            <a:t>Users enter the following information when recording a new scale ticket:</a:t>
          </a:r>
        </a:p>
        <a:p>
          <a:pPr marL="0" indent="0" algn="l"/>
          <a:r>
            <a:rPr lang="en-US" sz="1100">
              <a:latin typeface="+mn-lt"/>
              <a:ea typeface="+mn-lt"/>
              <a:cs typeface="+mn-lt"/>
            </a:rPr>
            <a:t>* Ticket Number</a:t>
          </a:r>
        </a:p>
        <a:p>
          <a:pPr marL="0" indent="0" algn="l"/>
          <a:r>
            <a:rPr lang="en-US" sz="1100">
              <a:latin typeface="+mn-lt"/>
              <a:ea typeface="+mn-lt"/>
              <a:cs typeface="+mn-lt"/>
            </a:rPr>
            <a:t>* Contract Number</a:t>
          </a:r>
        </a:p>
        <a:p>
          <a:pPr marL="0" indent="0" algn="l"/>
          <a:r>
            <a:rPr lang="en-US" sz="1100">
              <a:latin typeface="+mn-lt"/>
              <a:ea typeface="+mn-lt"/>
              <a:cs typeface="+mn-lt"/>
            </a:rPr>
            <a:t>* Customer Name</a:t>
          </a:r>
        </a:p>
        <a:p>
          <a:pPr marL="0" indent="0" algn="l"/>
          <a:r>
            <a:rPr lang="en-US" sz="1100">
              <a:latin typeface="+mn-lt"/>
              <a:ea typeface="+mn-lt"/>
              <a:cs typeface="+mn-lt"/>
            </a:rPr>
            <a:t>* Commodity</a:t>
          </a:r>
        </a:p>
        <a:p>
          <a:pPr marL="0" indent="0" algn="l"/>
          <a:r>
            <a:rPr lang="en-US" sz="1100">
              <a:latin typeface="+mn-lt"/>
              <a:ea typeface="+mn-lt"/>
              <a:cs typeface="+mn-lt"/>
            </a:rPr>
            <a:t>* Delivery Location</a:t>
          </a:r>
        </a:p>
        <a:p>
          <a:pPr marL="0" indent="0" algn="l"/>
          <a:r>
            <a:rPr lang="en-US" sz="1100">
              <a:latin typeface="+mn-lt"/>
              <a:ea typeface="+mn-lt"/>
              <a:cs typeface="+mn-lt"/>
            </a:rPr>
            <a:t>* Driver</a:t>
          </a:r>
        </a:p>
        <a:p>
          <a:pPr marL="0" indent="0" algn="l"/>
          <a:r>
            <a:rPr lang="en-US" sz="1100">
              <a:latin typeface="+mn-lt"/>
              <a:ea typeface="+mn-lt"/>
              <a:cs typeface="+mn-lt"/>
            </a:rPr>
            <a:t>* License Plate</a:t>
          </a:r>
        </a:p>
        <a:p>
          <a:pPr marL="0" indent="0" algn="l"/>
          <a:r>
            <a:rPr lang="en-US" sz="1100">
              <a:latin typeface="+mn-lt"/>
              <a:ea typeface="+mn-lt"/>
              <a:cs typeface="+mn-lt"/>
            </a:rPr>
            <a:t>* Delivery Date</a:t>
          </a:r>
        </a:p>
        <a:p>
          <a:pPr marL="0" indent="0" algn="l"/>
          <a:r>
            <a:rPr lang="en-US" sz="1100">
              <a:latin typeface="+mn-lt"/>
              <a:ea typeface="+mn-lt"/>
              <a:cs typeface="+mn-lt"/>
            </a:rPr>
            <a:t>* Time In</a:t>
          </a:r>
        </a:p>
        <a:p>
          <a:pPr marL="0" indent="0" algn="l"/>
          <a:r>
            <a:rPr lang="en-US" sz="1100">
              <a:latin typeface="+mn-lt"/>
              <a:ea typeface="+mn-lt"/>
              <a:cs typeface="+mn-lt"/>
            </a:rPr>
            <a:t>* Time Out</a:t>
          </a:r>
        </a:p>
        <a:p>
          <a:pPr marL="0" indent="0" algn="l"/>
          <a:r>
            <a:rPr lang="en-US" sz="1100">
              <a:latin typeface="+mn-lt"/>
              <a:ea typeface="+mn-lt"/>
              <a:cs typeface="+mn-lt"/>
            </a:rPr>
            <a:t>* Gross Weight</a:t>
          </a:r>
        </a:p>
        <a:p>
          <a:pPr marL="0" indent="0" algn="l"/>
          <a:r>
            <a:rPr lang="en-US" sz="1100">
              <a:latin typeface="+mn-lt"/>
              <a:ea typeface="+mn-lt"/>
              <a:cs typeface="+mn-lt"/>
            </a:rPr>
            <a:t>* Tare Weight</a:t>
          </a:r>
        </a:p>
        <a:p>
          <a:pPr marL="0" indent="0" algn="l"/>
          <a:r>
            <a:rPr lang="en-US" sz="1100">
              <a:latin typeface="+mn-lt"/>
              <a:ea typeface="+mn-lt"/>
              <a:cs typeface="+mn-lt"/>
            </a:rPr>
            <a:t>* Test Weight (TW)</a:t>
          </a:r>
        </a:p>
        <a:p>
          <a:pPr marL="0" indent="0" algn="l"/>
          <a:r>
            <a:rPr lang="en-US" sz="1100">
              <a:latin typeface="+mn-lt"/>
              <a:ea typeface="+mn-lt"/>
              <a:cs typeface="+mn-lt"/>
            </a:rPr>
            <a:t>* Moisture %</a:t>
          </a:r>
        </a:p>
        <a:p>
          <a:pPr marL="0" indent="0" algn="l"/>
          <a:r>
            <a:rPr lang="en-US" sz="1100">
              <a:latin typeface="+mn-lt"/>
              <a:ea typeface="+mn-lt"/>
              <a:cs typeface="+mn-lt"/>
            </a:rPr>
            <a:t>* Damage %</a:t>
          </a:r>
        </a:p>
        <a:p>
          <a:pPr marL="0" indent="0" algn="l"/>
          <a:r>
            <a:rPr lang="en-US" sz="1100">
              <a:latin typeface="+mn-lt"/>
              <a:ea typeface="+mn-lt"/>
              <a:cs typeface="+mn-lt"/>
            </a:rPr>
            <a:t>* Foreign Material (FM) %</a:t>
          </a:r>
          <a:endParaRPr lang="en-US" sz="1100" b="1" i="0" u="sng">
            <a:latin typeface="+mn-lt"/>
            <a:ea typeface="+mn-lt"/>
            <a:cs typeface="+mn-lt"/>
          </a:endParaRPr>
        </a:p>
        <a:p>
          <a:pPr marL="0" indent="0" algn="l"/>
          <a:endParaRPr lang="en-US" sz="1100" b="1" i="0" u="sng">
            <a:latin typeface="+mn-lt"/>
            <a:ea typeface="+mn-lt"/>
            <a:cs typeface="+mn-lt"/>
          </a:endParaRPr>
        </a:p>
        <a:p>
          <a:pPr marL="0" indent="0" algn="l"/>
          <a:r>
            <a:rPr lang="en-US" sz="1100" b="1" i="0" u="sng">
              <a:latin typeface="+mn-lt"/>
              <a:ea typeface="+mn-lt"/>
              <a:cs typeface="+mn-lt"/>
            </a:rPr>
            <a:t>Automated Calculations</a:t>
          </a:r>
          <a:endParaRPr lang="en-US" sz="1100">
            <a:latin typeface="+mn-lt"/>
            <a:ea typeface="+mn-lt"/>
            <a:cs typeface="+mn-lt"/>
          </a:endParaRPr>
        </a:p>
        <a:p>
          <a:pPr marL="0" indent="0" algn="l"/>
          <a:r>
            <a:rPr lang="en-US" sz="1100">
              <a:latin typeface="+mn-lt"/>
              <a:ea typeface="+mn-lt"/>
              <a:cs typeface="+mn-lt"/>
            </a:rPr>
            <a:t>- Net Weight</a:t>
          </a:r>
        </a:p>
        <a:p>
          <a:pPr marL="0" indent="0" algn="l"/>
          <a:r>
            <a:rPr lang="en-US" sz="1100">
              <a:latin typeface="+mn-lt"/>
              <a:ea typeface="+mn-lt"/>
              <a:cs typeface="+mn-lt"/>
            </a:rPr>
            <a:t>The Net Weight field is calculated automatically.</a:t>
          </a:r>
          <a:endParaRPr lang="en-US" sz="1100" i="1">
            <a:latin typeface="+mn-lt"/>
            <a:ea typeface="+mn-lt"/>
            <a:cs typeface="+mn-lt"/>
          </a:endParaRPr>
        </a:p>
        <a:p>
          <a:pPr marL="0" indent="0" algn="l"/>
          <a:r>
            <a:rPr lang="en-US" sz="1100" i="1">
              <a:latin typeface="+mn-lt"/>
              <a:ea typeface="+mn-lt"/>
              <a:cs typeface="+mn-lt"/>
            </a:rPr>
            <a:t>Formula: Net Weight = Gross Weight - Tare Weight</a:t>
          </a:r>
          <a:endParaRPr lang="en-US" sz="1100">
            <a:latin typeface="+mn-lt"/>
            <a:ea typeface="+mn-lt"/>
            <a:cs typeface="+mn-lt"/>
          </a:endParaRPr>
        </a:p>
        <a:p>
          <a:pPr marL="0" indent="0" algn="l"/>
          <a:r>
            <a:rPr lang="en-US" sz="1100">
              <a:latin typeface="+mn-lt"/>
              <a:ea typeface="+mn-lt"/>
              <a:cs typeface="+mn-lt"/>
            </a:rPr>
            <a:t>This eliminates manual scale calculations and ensures accurate grain receipt records.</a:t>
          </a:r>
        </a:p>
        <a:p>
          <a:pPr marL="0" indent="0" algn="l"/>
          <a:endParaRPr lang="en-US" sz="1100">
            <a:latin typeface="+mn-lt"/>
            <a:ea typeface="+mn-lt"/>
            <a:cs typeface="+mn-lt"/>
          </a:endParaRPr>
        </a:p>
        <a:p>
          <a:pPr marL="0" indent="0" algn="l"/>
          <a:r>
            <a:rPr lang="en-US" sz="1100">
              <a:latin typeface="+mn-lt"/>
              <a:ea typeface="+mn-lt"/>
              <a:cs typeface="+mn-lt"/>
            </a:rPr>
            <a:t>- Dockage ($/bu)</a:t>
          </a:r>
        </a:p>
        <a:p>
          <a:pPr marL="0" indent="0" algn="l"/>
          <a:r>
            <a:rPr lang="en-US" sz="1100">
              <a:latin typeface="+mn-lt"/>
              <a:ea typeface="+mn-lt"/>
              <a:cs typeface="+mn-lt"/>
            </a:rPr>
            <a:t>The Dockage field is calculated automatically using the Discount Schedules tab.</a:t>
          </a:r>
          <a:endParaRPr lang="en-US" sz="1100" i="1">
            <a:latin typeface="+mn-lt"/>
            <a:ea typeface="+mn-lt"/>
            <a:cs typeface="+mn-lt"/>
          </a:endParaRPr>
        </a:p>
        <a:p>
          <a:pPr marL="0" indent="0" algn="l"/>
          <a:r>
            <a:rPr lang="en-US" sz="1100" i="1">
              <a:latin typeface="+mn-lt"/>
              <a:ea typeface="+mn-lt"/>
              <a:cs typeface="+mn-lt"/>
            </a:rPr>
            <a:t>Formula: Moisture Dockage + Test Weight Dockage + Damage Dockage + Heat Damage Dockage + Foreign Material Dockage</a:t>
          </a:r>
          <a:endParaRPr lang="en-US" sz="1100">
            <a:latin typeface="+mn-lt"/>
            <a:ea typeface="+mn-lt"/>
            <a:cs typeface="+mn-lt"/>
          </a:endParaRPr>
        </a:p>
        <a:p>
          <a:pPr marL="0" indent="0" algn="l"/>
          <a:r>
            <a:rPr lang="en-US" sz="1100">
              <a:latin typeface="+mn-lt"/>
              <a:ea typeface="+mn-lt"/>
              <a:cs typeface="+mn-lt"/>
            </a:rPr>
            <a:t>Dockage values are cumulative and are determined based on grain quality measurements entered on the scale ticket.</a:t>
          </a:r>
        </a:p>
        <a:p>
          <a:pPr marL="0" indent="0" algn="l"/>
          <a:endParaRPr lang="en-US" sz="1100">
            <a:latin typeface="+mn-lt"/>
            <a:ea typeface="+mn-lt"/>
            <a:cs typeface="+mn-lt"/>
          </a:endParaRPr>
        </a:p>
        <a:p>
          <a:pPr marL="0" indent="0" algn="l"/>
          <a:r>
            <a:rPr lang="en-US" sz="1100">
              <a:latin typeface="+mn-lt"/>
              <a:ea typeface="+mn-lt"/>
              <a:cs typeface="+mn-lt"/>
            </a:rPr>
            <a:t>- Net Bushels</a:t>
          </a:r>
        </a:p>
        <a:p>
          <a:pPr marL="0" indent="0" algn="l"/>
          <a:r>
            <a:rPr lang="en-US" sz="1100">
              <a:latin typeface="+mn-lt"/>
              <a:ea typeface="+mn-lt"/>
              <a:cs typeface="+mn-lt"/>
            </a:rPr>
            <a:t>The Net Bushels field is calculated automatically.</a:t>
          </a:r>
          <a:endParaRPr lang="en-US" sz="1100" i="1">
            <a:latin typeface="+mn-lt"/>
            <a:ea typeface="+mn-lt"/>
            <a:cs typeface="+mn-lt"/>
          </a:endParaRPr>
        </a:p>
        <a:p>
          <a:pPr marL="0" indent="0" algn="l"/>
          <a:r>
            <a:rPr lang="en-US" sz="1100" i="1">
              <a:latin typeface="+mn-lt"/>
              <a:ea typeface="+mn-lt"/>
              <a:cs typeface="+mn-lt"/>
            </a:rPr>
            <a:t>Formula: Net Bushels = Net Weight ÷ 56 (Corn) or Net Weight ÷ 60 (Soybeans)</a:t>
          </a:r>
          <a:endParaRPr lang="en-US" sz="1100">
            <a:latin typeface="+mn-lt"/>
            <a:ea typeface="+mn-lt"/>
            <a:cs typeface="+mn-lt"/>
          </a:endParaRPr>
        </a:p>
        <a:p>
          <a:pPr marL="0" indent="0" algn="l"/>
          <a:r>
            <a:rPr lang="en-US" sz="1100">
              <a:latin typeface="+mn-lt"/>
              <a:ea typeface="+mn-lt"/>
              <a:cs typeface="+mn-lt"/>
            </a:rPr>
            <a:t>The applicable conversion factor is determined automatically based on commodity type.</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Validation Controls</a:t>
          </a:r>
          <a:endParaRPr lang="en-US" sz="1100" b="0" u="none">
            <a:latin typeface="+mn-lt"/>
            <a:ea typeface="+mn-lt"/>
            <a:cs typeface="+mn-lt"/>
          </a:endParaRPr>
        </a:p>
        <a:p>
          <a:pPr marL="0" indent="0" algn="l"/>
          <a:r>
            <a:rPr lang="en-US" sz="1100" b="0" u="none">
              <a:latin typeface="+mn-lt"/>
              <a:ea typeface="+mn-lt"/>
              <a:cs typeface="+mn-lt"/>
            </a:rPr>
            <a:t>- Contract Numbers are validated against active contracts within the Contracts tab.</a:t>
          </a:r>
        </a:p>
        <a:p>
          <a:pPr marL="0" indent="0" algn="l"/>
          <a:r>
            <a:rPr lang="en-US" sz="1100">
              <a:latin typeface="+mn-lt"/>
              <a:ea typeface="+mn-lt"/>
              <a:cs typeface="+mn-lt"/>
            </a:rPr>
            <a:t>- Commodity values are restricted to approved commodity types.</a:t>
          </a:r>
        </a:p>
        <a:p>
          <a:pPr marL="0" indent="0" algn="l"/>
          <a:r>
            <a:rPr lang="en-US" sz="1100">
              <a:latin typeface="+mn-lt"/>
              <a:ea typeface="+mn-lt"/>
              <a:cs typeface="+mn-lt"/>
            </a:rPr>
            <a:t>- Delivery Locations are restricted to approved elevator locations.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Operational Notes</a:t>
          </a:r>
          <a:endParaRPr lang="en-US" sz="1100" b="1" i="0" u="none">
            <a:latin typeface="+mn-lt"/>
            <a:ea typeface="+mn-lt"/>
            <a:cs typeface="+mn-lt"/>
          </a:endParaRPr>
        </a:p>
        <a:p>
          <a:pPr marL="0" indent="0" algn="l"/>
          <a:r>
            <a:rPr lang="en-US" sz="1100" b="1" i="0" u="none">
              <a:latin typeface="+mn-lt"/>
              <a:ea typeface="+mn-lt"/>
              <a:cs typeface="+mn-lt"/>
            </a:rPr>
            <a:t>- </a:t>
          </a:r>
          <a:r>
            <a:rPr lang="en-US" sz="1100" i="0" u="none">
              <a:latin typeface="+mn-lt"/>
              <a:ea typeface="+mn-lt"/>
              <a:cs typeface="+mn-lt"/>
            </a:rPr>
            <a:t>Each</a:t>
          </a:r>
          <a:r>
            <a:rPr lang="en-US" sz="1100">
              <a:latin typeface="+mn-lt"/>
              <a:ea typeface="+mn-lt"/>
              <a:cs typeface="+mn-lt"/>
            </a:rPr>
            <a:t> scale ticket must be associated with an existing contract.</a:t>
          </a:r>
        </a:p>
        <a:p>
          <a:pPr marL="0" indent="0" algn="l"/>
          <a:r>
            <a:rPr lang="en-US" sz="1100">
              <a:latin typeface="+mn-lt"/>
              <a:ea typeface="+mn-lt"/>
              <a:cs typeface="+mn-lt"/>
            </a:rPr>
            <a:t>- Quality measurements are evaluated against the Discount Schedules tab and automatically determine applicable quality deductions based on commodity-specific discount schedules.</a:t>
          </a:r>
        </a:p>
        <a:p>
          <a:pPr marL="0" indent="0" algn="l"/>
          <a:r>
            <a:rPr lang="en-US" sz="1100">
              <a:latin typeface="+mn-lt"/>
              <a:ea typeface="+mn-lt"/>
              <a:cs typeface="+mn-lt"/>
            </a:rPr>
            <a:t>- Dockage values are sourced from the Discount Schedules tab.</a:t>
          </a:r>
        </a:p>
        <a:p>
          <a:pPr marL="0" indent="0" algn="l"/>
          <a:r>
            <a:rPr lang="en-US" sz="1100">
              <a:latin typeface="+mn-lt"/>
              <a:ea typeface="+mn-lt"/>
              <a:cs typeface="+mn-lt"/>
            </a:rPr>
            <a:t>- Ticket activity automatically updates contract fulfillment progress and position reporting throughout the workbook.</a:t>
          </a:r>
        </a:p>
        <a:p>
          <a:pPr marL="0" indent="0" algn="l"/>
          <a:r>
            <a:rPr lang="en-US" sz="1100">
              <a:latin typeface="+mn-lt"/>
              <a:ea typeface="+mn-lt"/>
              <a:cs typeface="+mn-lt"/>
            </a:rPr>
            <a:t>- The tab is intended to simulate an integrated scale house environment where ticket data is transmitted electronically rather than entered manually.</a:t>
          </a:r>
          <a:endParaRPr lang="en-US" sz="1100" u="sng">
            <a:latin typeface="+mn-lt"/>
            <a:ea typeface="+mn-lt"/>
            <a:cs typeface="+mn-lt"/>
          </a:endParaRPr>
        </a:p>
        <a:p>
          <a:pPr marL="0" indent="0" algn="l"/>
          <a:endParaRPr lang="en-US" sz="1100" u="sng">
            <a:latin typeface="+mn-lt"/>
            <a:ea typeface="+mn-lt"/>
            <a:cs typeface="+mn-lt"/>
          </a:endParaRPr>
        </a:p>
        <a:p>
          <a:pPr marL="0" indent="0" algn="l"/>
          <a:endParaRPr lang="en-US" sz="1100" u="sng">
            <a:latin typeface="+mn-lt"/>
            <a:ea typeface="+mn-lt"/>
            <a:cs typeface="+mn-lt"/>
          </a:endParaRPr>
        </a:p>
        <a:p>
          <a:pPr marL="0" indent="0" algn="l"/>
          <a:r>
            <a:rPr lang="en-US" sz="1100" u="sng">
              <a:latin typeface="+mn-lt"/>
              <a:ea typeface="+mn-lt"/>
              <a:cs typeface="+mn-lt"/>
            </a:rPr>
            <a:t>Data Integration</a:t>
          </a:r>
          <a:endParaRPr lang="en-US" sz="1100" u="none">
            <a:latin typeface="+mn-lt"/>
            <a:ea typeface="+mn-lt"/>
            <a:cs typeface="+mn-lt"/>
          </a:endParaRPr>
        </a:p>
        <a:p>
          <a:pPr marL="0" indent="0" algn="l"/>
          <a:r>
            <a:rPr lang="en-US" sz="1100" u="none">
              <a:latin typeface="+mn-lt"/>
              <a:ea typeface="+mn-lt"/>
              <a:cs typeface="+mn-lt"/>
            </a:rPr>
            <a:t>- </a:t>
          </a:r>
          <a:r>
            <a:rPr lang="en-US" sz="1100">
              <a:latin typeface="+mn-lt"/>
              <a:ea typeface="+mn-lt"/>
              <a:cs typeface="+mn-lt"/>
            </a:rPr>
            <a:t>Contract Numbers are sourced from the Purchase Contracts tab.</a:t>
          </a:r>
        </a:p>
        <a:p>
          <a:pPr marL="0" indent="0" algn="l"/>
          <a:r>
            <a:rPr lang="en-US" sz="1100">
              <a:latin typeface="+mn-lt"/>
              <a:ea typeface="+mn-lt"/>
              <a:cs typeface="+mn-lt"/>
            </a:rPr>
            <a:t>- Quality discount values are sourced from the Discount Schedules tab.</a:t>
          </a:r>
        </a:p>
        <a:p>
          <a:pPr marL="0" indent="0" algn="l"/>
          <a:r>
            <a:rPr lang="en-US" sz="1100">
              <a:latin typeface="+mn-lt"/>
              <a:ea typeface="+mn-lt"/>
              <a:cs typeface="+mn-lt"/>
            </a:rPr>
            <a:t>- Delivered bushels are automatically transferred to the Purchase Contracts tab.</a:t>
          </a:r>
        </a:p>
        <a:p>
          <a:pPr marL="0" indent="0" algn="l"/>
          <a:r>
            <a:rPr lang="en-US" sz="1100">
              <a:latin typeface="+mn-lt"/>
              <a:ea typeface="+mn-lt"/>
              <a:cs typeface="+mn-lt"/>
            </a:rPr>
            <a:t>- Ticket activity feeds Position and Dashboard reporting.</a:t>
          </a:r>
        </a:p>
      </xdr:txBody>
    </xdr:sp>
    <xdr:clientData/>
  </xdr:twoCellAnchor>
  <xdr:twoCellAnchor>
    <xdr:from>
      <xdr:col>0</xdr:col>
      <xdr:colOff>9525</xdr:colOff>
      <xdr:row>76</xdr:row>
      <xdr:rowOff>19050</xdr:rowOff>
    </xdr:from>
    <xdr:to>
      <xdr:col>11</xdr:col>
      <xdr:colOff>590550</xdr:colOff>
      <xdr:row>121</xdr:row>
      <xdr:rowOff>57150</xdr:rowOff>
    </xdr:to>
    <xdr:sp macro="" textlink="">
      <xdr:nvSpPr>
        <xdr:cNvPr id="5" name="TextBox 4">
          <a:extLst>
            <a:ext uri="{FF2B5EF4-FFF2-40B4-BE49-F238E27FC236}">
              <a16:creationId xmlns:a16="http://schemas.microsoft.com/office/drawing/2014/main" id="{737DFDC3-7D4C-A81A-8D02-FB3C02DFCD8B}"/>
            </a:ext>
            <a:ext uri="{147F2762-F138-4A5C-976F-8EAC2B608ADB}">
              <a16:predDERef xmlns:a16="http://schemas.microsoft.com/office/drawing/2014/main" pred="{2C413CEA-F35D-298D-C997-45A8A6863B2B}"/>
            </a:ext>
          </a:extLst>
        </xdr:cNvPr>
        <xdr:cNvSpPr txBox="1"/>
      </xdr:nvSpPr>
      <xdr:spPr>
        <a:xfrm>
          <a:off x="9525" y="14849475"/>
          <a:ext cx="7286625" cy="8610600"/>
        </a:xfrm>
        <a:prstGeom prst="rect">
          <a:avLst/>
        </a:prstGeom>
        <a:solidFill>
          <a:schemeClr val="accent6">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u="sng">
              <a:latin typeface="+mn-lt"/>
              <a:ea typeface="+mn-lt"/>
              <a:cs typeface="+mn-lt"/>
            </a:rPr>
            <a:t>Purpose</a:t>
          </a:r>
          <a:endParaRPr lang="en-US" sz="1100">
            <a:latin typeface="+mn-lt"/>
            <a:ea typeface="+mn-lt"/>
            <a:cs typeface="+mn-lt"/>
          </a:endParaRPr>
        </a:p>
        <a:p>
          <a:pPr marL="0" indent="0" algn="l"/>
          <a:r>
            <a:rPr lang="en-US" sz="1100">
              <a:latin typeface="+mn-lt"/>
              <a:ea typeface="+mn-lt"/>
              <a:cs typeface="+mn-lt"/>
            </a:rPr>
            <a:t>The Discount Schedules tab serves as the central quality management engine for the workbook. It stores commodity-specific quality discount schedules used to automatically determine dockage on grain receipts and provides the lookup values referenced by the Inbound Scale Tickets tab. The discount schedules simulate elevator grain grading practices by assigning monetary deductions to grain that exceeds acceptable quality thresholds. This ensures grain receipts are valued consistently and reflects the financial impact of quality deterioration.</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Reference Data</a:t>
          </a:r>
        </a:p>
        <a:p>
          <a:pPr marL="0" indent="0" algn="l"/>
          <a:r>
            <a:rPr lang="en-US" sz="1100">
              <a:latin typeface="+mn-lt"/>
              <a:ea typeface="+mn-lt"/>
              <a:cs typeface="+mn-lt"/>
            </a:rPr>
            <a:t>The tab contains separate discount schedules for:</a:t>
          </a:r>
        </a:p>
        <a:p>
          <a:pPr marL="0" indent="0" algn="l"/>
          <a:r>
            <a:rPr lang="en-US" sz="1100">
              <a:latin typeface="+mn-lt"/>
              <a:ea typeface="+mn-lt"/>
              <a:cs typeface="+mn-lt"/>
            </a:rPr>
            <a:t>* Corn</a:t>
          </a:r>
        </a:p>
        <a:p>
          <a:pPr marL="0" indent="0" algn="l"/>
          <a:r>
            <a:rPr lang="en-US" sz="1100">
              <a:latin typeface="+mn-lt"/>
              <a:ea typeface="+mn-lt"/>
              <a:cs typeface="+mn-lt"/>
            </a:rPr>
            <a:t>* Soybeans</a:t>
          </a:r>
        </a:p>
        <a:p>
          <a:pPr marL="0" indent="0" algn="l"/>
          <a:endParaRPr lang="en-US" sz="1100">
            <a:latin typeface="+mn-lt"/>
            <a:ea typeface="+mn-lt"/>
            <a:cs typeface="+mn-lt"/>
          </a:endParaRPr>
        </a:p>
        <a:p>
          <a:pPr marL="0" indent="0" algn="l"/>
          <a:r>
            <a:rPr lang="en-US" sz="1100">
              <a:latin typeface="+mn-lt"/>
              <a:ea typeface="+mn-lt"/>
              <a:cs typeface="+mn-lt"/>
            </a:rPr>
            <a:t>Each schedule includes:</a:t>
          </a:r>
        </a:p>
        <a:p>
          <a:pPr marL="0" indent="0" algn="l"/>
          <a:r>
            <a:rPr lang="en-US" sz="1100">
              <a:latin typeface="+mn-lt"/>
              <a:ea typeface="+mn-lt"/>
              <a:cs typeface="+mn-lt"/>
            </a:rPr>
            <a:t>- Quality Factor</a:t>
          </a:r>
        </a:p>
        <a:p>
          <a:pPr marL="0" indent="0" algn="l"/>
          <a:r>
            <a:rPr lang="en-US" sz="1100">
              <a:latin typeface="+mn-lt"/>
              <a:ea typeface="+mn-lt"/>
              <a:cs typeface="+mn-lt"/>
            </a:rPr>
            <a:t>- Low Threshold</a:t>
          </a:r>
        </a:p>
        <a:p>
          <a:pPr marL="0" indent="0" algn="l"/>
          <a:r>
            <a:rPr lang="en-US" sz="1100">
              <a:latin typeface="+mn-lt"/>
              <a:ea typeface="+mn-lt"/>
              <a:cs typeface="+mn-lt"/>
            </a:rPr>
            <a:t>- High Threshold</a:t>
          </a:r>
        </a:p>
        <a:p>
          <a:pPr marL="0" indent="0" algn="l"/>
          <a:r>
            <a:rPr lang="en-US" sz="1100">
              <a:latin typeface="+mn-lt"/>
              <a:ea typeface="+mn-lt"/>
              <a:cs typeface="+mn-lt"/>
            </a:rPr>
            <a:t>- Dockage ($/bu)</a:t>
          </a:r>
        </a:p>
        <a:p>
          <a:pPr marL="0" indent="0" algn="l"/>
          <a:endParaRPr lang="en-US" sz="1100">
            <a:latin typeface="+mn-lt"/>
            <a:ea typeface="+mn-lt"/>
            <a:cs typeface="+mn-lt"/>
          </a:endParaRPr>
        </a:p>
        <a:p>
          <a:pPr marL="0" indent="0" algn="l"/>
          <a:r>
            <a:rPr lang="en-US" sz="1100">
              <a:latin typeface="+mn-lt"/>
              <a:ea typeface="+mn-lt"/>
              <a:cs typeface="+mn-lt"/>
            </a:rPr>
            <a:t>Quality factors currently include:</a:t>
          </a:r>
        </a:p>
        <a:p>
          <a:pPr marL="0" indent="0" algn="l"/>
          <a:r>
            <a:rPr lang="en-US" sz="1100">
              <a:latin typeface="+mn-lt"/>
              <a:ea typeface="+mn-lt"/>
              <a:cs typeface="+mn-lt"/>
            </a:rPr>
            <a:t>- Moisture</a:t>
          </a:r>
        </a:p>
        <a:p>
          <a:pPr marL="0" indent="0" algn="l"/>
          <a:r>
            <a:rPr lang="en-US" sz="1100">
              <a:latin typeface="+mn-lt"/>
              <a:ea typeface="+mn-lt"/>
              <a:cs typeface="+mn-lt"/>
            </a:rPr>
            <a:t>- Test Weight</a:t>
          </a:r>
        </a:p>
        <a:p>
          <a:pPr marL="0" indent="0" algn="l"/>
          <a:r>
            <a:rPr lang="en-US" sz="1100">
              <a:latin typeface="+mn-lt"/>
              <a:ea typeface="+mn-lt"/>
              <a:cs typeface="+mn-lt"/>
            </a:rPr>
            <a:t>- Damage</a:t>
          </a:r>
        </a:p>
        <a:p>
          <a:pPr marL="0" indent="0" algn="l"/>
          <a:r>
            <a:rPr lang="en-US" sz="1100">
              <a:latin typeface="+mn-lt"/>
              <a:ea typeface="+mn-lt"/>
              <a:cs typeface="+mn-lt"/>
            </a:rPr>
            <a:t>- Heat Damage</a:t>
          </a:r>
        </a:p>
        <a:p>
          <a:pPr marL="0" indent="0" algn="l"/>
          <a:r>
            <a:rPr lang="en-US" sz="1100">
              <a:latin typeface="+mn-lt"/>
              <a:ea typeface="+mn-lt"/>
              <a:cs typeface="+mn-lt"/>
            </a:rPr>
            <a:t>- Foreign Material (FM)</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Standard Quality Assumptions</a:t>
          </a:r>
          <a:endParaRPr lang="en-US" sz="1100">
            <a:latin typeface="+mn-lt"/>
            <a:ea typeface="+mn-lt"/>
            <a:cs typeface="+mn-lt"/>
          </a:endParaRPr>
        </a:p>
        <a:p>
          <a:pPr marL="0" indent="0" algn="l"/>
          <a:r>
            <a:rPr lang="en-US" sz="1100">
              <a:latin typeface="+mn-lt"/>
              <a:ea typeface="+mn-lt"/>
              <a:cs typeface="+mn-lt"/>
            </a:rPr>
            <a:t>Corn</a:t>
          </a:r>
        </a:p>
        <a:p>
          <a:pPr marL="0" indent="0" algn="l"/>
          <a:r>
            <a:rPr lang="en-US" sz="1100">
              <a:latin typeface="+mn-lt"/>
              <a:ea typeface="+mn-lt"/>
              <a:cs typeface="+mn-lt"/>
            </a:rPr>
            <a:t>- Standard Moisture: 15.0%</a:t>
          </a:r>
        </a:p>
        <a:p>
          <a:pPr marL="0" indent="0" algn="l"/>
          <a:r>
            <a:rPr lang="en-US" sz="1100">
              <a:latin typeface="+mn-lt"/>
              <a:ea typeface="+mn-lt"/>
              <a:cs typeface="+mn-lt"/>
            </a:rPr>
            <a:t>- Standard Test Weight: 56.0 lb/bu</a:t>
          </a:r>
        </a:p>
        <a:p>
          <a:pPr marL="0" indent="0" algn="l"/>
          <a:endParaRPr lang="en-US" sz="1100">
            <a:latin typeface="+mn-lt"/>
            <a:ea typeface="+mn-lt"/>
            <a:cs typeface="+mn-lt"/>
          </a:endParaRPr>
        </a:p>
        <a:p>
          <a:pPr marL="0" indent="0" algn="l"/>
          <a:r>
            <a:rPr lang="en-US" sz="1100">
              <a:latin typeface="+mn-lt"/>
              <a:ea typeface="+mn-lt"/>
              <a:cs typeface="+mn-lt"/>
            </a:rPr>
            <a:t>Soybeans</a:t>
          </a:r>
        </a:p>
        <a:p>
          <a:pPr marL="0" indent="0" algn="l"/>
          <a:r>
            <a:rPr lang="en-US" sz="1100">
              <a:latin typeface="+mn-lt"/>
              <a:ea typeface="+mn-lt"/>
              <a:cs typeface="+mn-lt"/>
            </a:rPr>
            <a:t>- Standard Moisture: 13.0%</a:t>
          </a:r>
        </a:p>
        <a:p>
          <a:pPr marL="0" indent="0" algn="l"/>
          <a:r>
            <a:rPr lang="en-US" sz="1100">
              <a:latin typeface="+mn-lt"/>
              <a:ea typeface="+mn-lt"/>
              <a:cs typeface="+mn-lt"/>
            </a:rPr>
            <a:t>- Standard Test Weight: 60.0 lb/bu</a:t>
          </a:r>
          <a:endParaRPr lang="en-US" sz="1100" i="1">
            <a:latin typeface="+mn-lt"/>
            <a:ea typeface="+mn-lt"/>
            <a:cs typeface="+mn-lt"/>
          </a:endParaRPr>
        </a:p>
        <a:p>
          <a:pPr marL="0" indent="0" algn="l"/>
          <a:endParaRPr lang="en-US" sz="1100" i="1">
            <a:latin typeface="+mn-lt"/>
            <a:ea typeface="+mn-lt"/>
            <a:cs typeface="+mn-lt"/>
          </a:endParaRPr>
        </a:p>
        <a:p>
          <a:pPr marL="0" indent="0" algn="l"/>
          <a:r>
            <a:rPr lang="en-US" sz="1100" i="1">
              <a:latin typeface="+mn-lt"/>
              <a:ea typeface="+mn-lt"/>
              <a:cs typeface="+mn-lt"/>
            </a:rPr>
            <a:t>These standards establish the baseline quality assumptions used when defining discount schedules.</a:t>
          </a:r>
          <a:endParaRPr lang="en-US" sz="1100" b="1" i="0" u="sng">
            <a:latin typeface="+mn-lt"/>
            <a:ea typeface="+mn-lt"/>
            <a:cs typeface="+mn-lt"/>
          </a:endParaRPr>
        </a:p>
        <a:p>
          <a:pPr marL="0" indent="0" algn="l"/>
          <a:endParaRPr lang="en-US" sz="1100" b="1" i="0" u="sng">
            <a:latin typeface="+mn-lt"/>
            <a:ea typeface="+mn-lt"/>
            <a:cs typeface="+mn-lt"/>
          </a:endParaRPr>
        </a:p>
        <a:p>
          <a:pPr marL="0" indent="0" algn="l"/>
          <a:r>
            <a:rPr lang="en-US" sz="1100" b="1" i="0" u="sng">
              <a:latin typeface="+mn-lt"/>
              <a:ea typeface="+mn-lt"/>
              <a:cs typeface="+mn-lt"/>
            </a:rPr>
            <a:t>Operational Notes</a:t>
          </a:r>
          <a:endParaRPr lang="en-US" sz="1100" b="1" i="0" u="none">
            <a:latin typeface="+mn-lt"/>
            <a:ea typeface="+mn-lt"/>
            <a:cs typeface="+mn-lt"/>
          </a:endParaRPr>
        </a:p>
        <a:p>
          <a:pPr marL="0" indent="0" algn="l"/>
          <a:r>
            <a:rPr lang="en-US" sz="1100" b="1" i="0" u="none">
              <a:latin typeface="+mn-lt"/>
              <a:ea typeface="+mn-lt"/>
              <a:cs typeface="+mn-lt"/>
            </a:rPr>
            <a:t>- </a:t>
          </a:r>
          <a:r>
            <a:rPr lang="en-US" sz="1100" i="0">
              <a:latin typeface="+mn-lt"/>
              <a:ea typeface="+mn-lt"/>
              <a:cs typeface="+mn-lt"/>
            </a:rPr>
            <a:t>Discount schedules are maintained separately for corn and soybeans.</a:t>
          </a:r>
        </a:p>
        <a:p>
          <a:pPr marL="0" indent="0" algn="l"/>
          <a:r>
            <a:rPr lang="en-US" sz="1100" i="0">
              <a:latin typeface="+mn-lt"/>
              <a:ea typeface="+mn-lt"/>
              <a:cs typeface="+mn-lt"/>
            </a:rPr>
            <a:t>- Dockage values are cumulative.</a:t>
          </a:r>
        </a:p>
        <a:p>
          <a:pPr marL="0" indent="0" algn="l"/>
          <a:r>
            <a:rPr lang="en-US" sz="1100" i="0">
              <a:latin typeface="+mn-lt"/>
              <a:ea typeface="+mn-lt"/>
              <a:cs typeface="+mn-lt"/>
            </a:rPr>
            <a:t>- Dockage values are expressed on a per-bushel basis.</a:t>
          </a:r>
        </a:p>
        <a:p>
          <a:pPr marL="0" indent="0" algn="l"/>
          <a:r>
            <a:rPr lang="en-US" sz="1100" i="0">
              <a:latin typeface="+mn-lt"/>
              <a:ea typeface="+mn-lt"/>
              <a:cs typeface="+mn-lt"/>
            </a:rPr>
            <a:t>- The Scale Tickets tab references this information automatically when calculating dockage.</a:t>
          </a:r>
        </a:p>
        <a:p>
          <a:pPr marL="0" indent="0" algn="l"/>
          <a:r>
            <a:rPr lang="en-US" sz="1100" i="0">
              <a:latin typeface="+mn-lt"/>
              <a:ea typeface="+mn-lt"/>
              <a:cs typeface="+mn-lt"/>
            </a:rPr>
            <a:t>- Changes made within the Discount Schedules tab will automatically impact future dockage calculations throughout the workbook.</a:t>
          </a:r>
          <a:endParaRPr lang="en-US" sz="1100" b="1" i="0" u="sng">
            <a:latin typeface="+mn-lt"/>
            <a:ea typeface="+mn-lt"/>
            <a:cs typeface="+mn-lt"/>
          </a:endParaRPr>
        </a:p>
        <a:p>
          <a:pPr marL="0" indent="0" algn="l"/>
          <a:endParaRPr lang="en-US" sz="1100" b="1" i="0" u="sng">
            <a:latin typeface="+mn-lt"/>
            <a:ea typeface="+mn-lt"/>
            <a:cs typeface="+mn-lt"/>
          </a:endParaRPr>
        </a:p>
        <a:p>
          <a:pPr marL="0" indent="0" algn="l"/>
          <a:r>
            <a:rPr lang="en-US" sz="1100" b="1" i="0" u="sng">
              <a:latin typeface="+mn-lt"/>
              <a:ea typeface="+mn-lt"/>
              <a:cs typeface="+mn-lt"/>
            </a:rPr>
            <a:t>Automated Integration</a:t>
          </a:r>
          <a:endParaRPr lang="en-US" sz="1100" b="1" i="0" u="none">
            <a:latin typeface="+mn-lt"/>
            <a:ea typeface="+mn-lt"/>
            <a:cs typeface="+mn-lt"/>
          </a:endParaRPr>
        </a:p>
        <a:p>
          <a:pPr marL="0" indent="0" algn="l"/>
          <a:r>
            <a:rPr lang="en-US" sz="1100" i="0" u="none">
              <a:latin typeface="+mn-lt"/>
              <a:ea typeface="+mn-lt"/>
              <a:cs typeface="+mn-lt"/>
            </a:rPr>
            <a:t>- The </a:t>
          </a:r>
          <a:r>
            <a:rPr lang="en-US" sz="1100" i="0">
              <a:latin typeface="+mn-lt"/>
              <a:ea typeface="+mn-lt"/>
              <a:cs typeface="+mn-lt"/>
            </a:rPr>
            <a:t>Inbound Scale Tickets tab references the Discount Schedules tab automatically.</a:t>
          </a:r>
        </a:p>
        <a:p>
          <a:pPr marL="0" indent="0" algn="l"/>
          <a:r>
            <a:rPr lang="en-US" sz="1100" i="0">
              <a:latin typeface="+mn-lt"/>
              <a:ea typeface="+mn-lt"/>
              <a:cs typeface="+mn-lt"/>
            </a:rPr>
            <a:t>- Quality measurements are evaluated against the appropriate commodity-specific discount schedule.</a:t>
          </a:r>
        </a:p>
        <a:p>
          <a:pPr marL="0" indent="0" algn="l"/>
          <a:r>
            <a:rPr lang="en-US" sz="1100" i="0">
              <a:latin typeface="+mn-lt"/>
              <a:ea typeface="+mn-lt"/>
              <a:cs typeface="+mn-lt"/>
            </a:rPr>
            <a:t>- Applicable dockage values are summed and transferred to the ticket record.</a:t>
          </a:r>
        </a:p>
        <a:p>
          <a:pPr marL="0" indent="0" algn="l"/>
          <a:r>
            <a:rPr lang="en-US" sz="1100" i="0">
              <a:latin typeface="+mn-lt"/>
              <a:ea typeface="+mn-lt"/>
              <a:cs typeface="+mn-lt"/>
            </a:rPr>
            <a:t>- No manual dockage calculations are required.</a:t>
          </a:r>
        </a:p>
      </xdr:txBody>
    </xdr:sp>
    <xdr:clientData/>
  </xdr:twoCellAnchor>
  <xdr:twoCellAnchor>
    <xdr:from>
      <xdr:col>12</xdr:col>
      <xdr:colOff>0</xdr:colOff>
      <xdr:row>71</xdr:row>
      <xdr:rowOff>161925</xdr:rowOff>
    </xdr:from>
    <xdr:to>
      <xdr:col>24</xdr:col>
      <xdr:colOff>0</xdr:colOff>
      <xdr:row>133</xdr:row>
      <xdr:rowOff>28575</xdr:rowOff>
    </xdr:to>
    <xdr:sp macro="" textlink="">
      <xdr:nvSpPr>
        <xdr:cNvPr id="6" name="TextBox 5">
          <a:extLst>
            <a:ext uri="{FF2B5EF4-FFF2-40B4-BE49-F238E27FC236}">
              <a16:creationId xmlns:a16="http://schemas.microsoft.com/office/drawing/2014/main" id="{66C23913-F6F4-4865-FB71-C2E01728BCCA}"/>
            </a:ext>
            <a:ext uri="{147F2762-F138-4A5C-976F-8EAC2B608ADB}">
              <a16:predDERef xmlns:a16="http://schemas.microsoft.com/office/drawing/2014/main" pred="{737DFDC3-7D4C-A81A-8D02-FB3C02DFCD8B}"/>
            </a:ext>
          </a:extLst>
        </xdr:cNvPr>
        <xdr:cNvSpPr txBox="1"/>
      </xdr:nvSpPr>
      <xdr:spPr>
        <a:xfrm>
          <a:off x="7315200" y="13896975"/>
          <a:ext cx="7315200" cy="11963400"/>
        </a:xfrm>
        <a:prstGeom prst="rect">
          <a:avLst/>
        </a:prstGeom>
        <a:solidFill>
          <a:schemeClr val="accent4">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sng">
              <a:latin typeface="+mn-lt"/>
              <a:ea typeface="+mn-lt"/>
              <a:cs typeface="+mn-lt"/>
            </a:rPr>
            <a:t>Purpose</a:t>
          </a:r>
          <a:endParaRPr lang="en-US" sz="1100">
            <a:latin typeface="+mn-lt"/>
            <a:ea typeface="+mn-lt"/>
            <a:cs typeface="+mn-lt"/>
          </a:endParaRPr>
        </a:p>
        <a:p>
          <a:pPr marL="0" indent="0" algn="l"/>
          <a:r>
            <a:rPr lang="en-US" sz="1100">
              <a:latin typeface="+mn-lt"/>
              <a:ea typeface="+mn-lt"/>
              <a:cs typeface="+mn-lt"/>
            </a:rPr>
            <a:t>The Sale Contracts tab serves as the central management hub for grain sales contracts. It stores customer commitments, destination information, pricing details, and shipment progress while automatically calculating delivered pricing and contract fulfillment metrics. The tab provides visibility into outstanding shipment obligations and supports commercial position management throughout the workbook.</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Required Inputs</a:t>
          </a:r>
          <a:endParaRPr lang="en-US" sz="1100">
            <a:latin typeface="+mn-lt"/>
            <a:ea typeface="+mn-lt"/>
            <a:cs typeface="+mn-lt"/>
          </a:endParaRPr>
        </a:p>
        <a:p>
          <a:pPr marL="0" indent="0" algn="l"/>
          <a:r>
            <a:rPr lang="en-US" sz="1100">
              <a:latin typeface="+mn-lt"/>
              <a:ea typeface="+mn-lt"/>
              <a:cs typeface="+mn-lt"/>
            </a:rPr>
            <a:t>Users enter the following information when creating a new sales contract:</a:t>
          </a:r>
        </a:p>
        <a:p>
          <a:pPr marL="0" indent="0" algn="l"/>
          <a:r>
            <a:rPr lang="en-US" sz="1100">
              <a:latin typeface="+mn-lt"/>
              <a:ea typeface="+mn-lt"/>
              <a:cs typeface="+mn-lt"/>
            </a:rPr>
            <a:t>* Sale Contract Number</a:t>
          </a:r>
        </a:p>
        <a:p>
          <a:pPr marL="0" indent="0" algn="l"/>
          <a:r>
            <a:rPr lang="en-US" sz="1100">
              <a:latin typeface="+mn-lt"/>
              <a:ea typeface="+mn-lt"/>
              <a:cs typeface="+mn-lt"/>
            </a:rPr>
            <a:t>* Buyer</a:t>
          </a:r>
        </a:p>
        <a:p>
          <a:pPr marL="0" indent="0" algn="l"/>
          <a:r>
            <a:rPr lang="en-US" sz="1100">
              <a:latin typeface="+mn-lt"/>
              <a:ea typeface="+mn-lt"/>
              <a:cs typeface="+mn-lt"/>
            </a:rPr>
            <a:t>* Commodity</a:t>
          </a:r>
        </a:p>
        <a:p>
          <a:pPr marL="0" indent="0" algn="l"/>
          <a:r>
            <a:rPr lang="en-US" sz="1100">
              <a:latin typeface="+mn-lt"/>
              <a:ea typeface="+mn-lt"/>
              <a:cs typeface="+mn-lt"/>
            </a:rPr>
            <a:t>* Destination</a:t>
          </a:r>
        </a:p>
        <a:p>
          <a:pPr marL="0" indent="0" algn="l"/>
          <a:r>
            <a:rPr lang="en-US" sz="1100">
              <a:latin typeface="+mn-lt"/>
              <a:ea typeface="+mn-lt"/>
              <a:cs typeface="+mn-lt"/>
            </a:rPr>
            <a:t>* Delivery Period</a:t>
          </a:r>
        </a:p>
        <a:p>
          <a:pPr marL="0" indent="0" algn="l"/>
          <a:r>
            <a:rPr lang="en-US" sz="1100">
              <a:latin typeface="+mn-lt"/>
              <a:ea typeface="+mn-lt"/>
              <a:cs typeface="+mn-lt"/>
            </a:rPr>
            <a:t>* Futures Code</a:t>
          </a:r>
        </a:p>
        <a:p>
          <a:pPr marL="0" indent="0" algn="l"/>
          <a:r>
            <a:rPr lang="en-US" sz="1100">
              <a:latin typeface="+mn-lt"/>
              <a:ea typeface="+mn-lt"/>
              <a:cs typeface="+mn-lt"/>
            </a:rPr>
            <a:t>* Futures Price</a:t>
          </a:r>
        </a:p>
        <a:p>
          <a:pPr marL="0" indent="0" algn="l"/>
          <a:r>
            <a:rPr lang="en-US" sz="1100">
              <a:latin typeface="+mn-lt"/>
              <a:ea typeface="+mn-lt"/>
              <a:cs typeface="+mn-lt"/>
            </a:rPr>
            <a:t>* Destination Basis</a:t>
          </a:r>
        </a:p>
        <a:p>
          <a:pPr marL="0" indent="0" algn="l"/>
          <a:r>
            <a:rPr lang="en-US" sz="1100">
              <a:latin typeface="+mn-lt"/>
              <a:ea typeface="+mn-lt"/>
              <a:cs typeface="+mn-lt"/>
            </a:rPr>
            <a:t>* Contracted Bushels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Automated Calculations</a:t>
          </a:r>
          <a:endParaRPr lang="en-US" sz="1100">
            <a:latin typeface="+mn-lt"/>
            <a:ea typeface="+mn-lt"/>
            <a:cs typeface="+mn-lt"/>
          </a:endParaRPr>
        </a:p>
        <a:p>
          <a:pPr marL="0" indent="0" algn="l"/>
          <a:r>
            <a:rPr lang="en-US" sz="1100">
              <a:latin typeface="+mn-lt"/>
              <a:ea typeface="+mn-lt"/>
              <a:cs typeface="+mn-lt"/>
            </a:rPr>
            <a:t>- Freight Adjustment</a:t>
          </a:r>
        </a:p>
        <a:p>
          <a:pPr marL="0" indent="0" algn="l"/>
          <a:r>
            <a:rPr lang="en-US" sz="1100">
              <a:latin typeface="+mn-lt"/>
              <a:ea typeface="+mn-lt"/>
              <a:cs typeface="+mn-lt"/>
            </a:rPr>
            <a:t>The Freight Adjustment field is populated automatically based on the selected destination.</a:t>
          </a:r>
          <a:endParaRPr lang="en-US" sz="1100" i="1">
            <a:latin typeface="+mn-lt"/>
            <a:ea typeface="+mn-lt"/>
            <a:cs typeface="+mn-lt"/>
          </a:endParaRPr>
        </a:p>
        <a:p>
          <a:pPr marL="0" indent="0" algn="l"/>
          <a:r>
            <a:rPr lang="en-US" sz="1100" i="1">
              <a:latin typeface="+mn-lt"/>
              <a:ea typeface="+mn-lt"/>
              <a:cs typeface="+mn-lt"/>
            </a:rPr>
            <a:t>Logic: Destination-specific freight values are retrieved from the Destination Freight Rates table.</a:t>
          </a:r>
          <a:endParaRPr lang="en-US" sz="1100">
            <a:latin typeface="+mn-lt"/>
            <a:ea typeface="+mn-lt"/>
            <a:cs typeface="+mn-lt"/>
          </a:endParaRPr>
        </a:p>
        <a:p>
          <a:pPr marL="0" indent="0" algn="l"/>
          <a:r>
            <a:rPr lang="en-US" sz="1100">
              <a:latin typeface="+mn-lt"/>
              <a:ea typeface="+mn-lt"/>
              <a:cs typeface="+mn-lt"/>
            </a:rPr>
            <a:t>This ensures freight assumptions remain standardized across all sales contracts and eliminates manual freight calculations.</a:t>
          </a:r>
        </a:p>
        <a:p>
          <a:pPr marL="0" indent="0" algn="l"/>
          <a:endParaRPr lang="en-US" sz="1100">
            <a:latin typeface="+mn-lt"/>
            <a:ea typeface="+mn-lt"/>
            <a:cs typeface="+mn-lt"/>
          </a:endParaRPr>
        </a:p>
        <a:p>
          <a:pPr marL="0" indent="0" algn="l"/>
          <a:r>
            <a:rPr lang="en-US" sz="1100">
              <a:latin typeface="+mn-lt"/>
              <a:ea typeface="+mn-lt"/>
              <a:cs typeface="+mn-lt"/>
            </a:rPr>
            <a:t>- Net Basis</a:t>
          </a:r>
        </a:p>
        <a:p>
          <a:pPr marL="0" indent="0" algn="l"/>
          <a:r>
            <a:rPr lang="en-US" sz="1100">
              <a:latin typeface="+mn-lt"/>
              <a:ea typeface="+mn-lt"/>
              <a:cs typeface="+mn-lt"/>
            </a:rPr>
            <a:t>The Net Basis field is calculated automatically.</a:t>
          </a:r>
          <a:endParaRPr lang="en-US" sz="1100" i="1">
            <a:latin typeface="+mn-lt"/>
            <a:ea typeface="+mn-lt"/>
            <a:cs typeface="+mn-lt"/>
          </a:endParaRPr>
        </a:p>
        <a:p>
          <a:pPr marL="0" indent="0" algn="l"/>
          <a:r>
            <a:rPr lang="en-US" sz="1100" i="1">
              <a:latin typeface="+mn-lt"/>
              <a:ea typeface="+mn-lt"/>
              <a:cs typeface="+mn-lt"/>
            </a:rPr>
            <a:t>Formula: Net Basis = Destination Basis + Freight Adjustment</a:t>
          </a:r>
          <a:endParaRPr lang="en-US" sz="1100">
            <a:latin typeface="+mn-lt"/>
            <a:ea typeface="+mn-lt"/>
            <a:cs typeface="+mn-lt"/>
          </a:endParaRPr>
        </a:p>
        <a:p>
          <a:pPr marL="0" indent="0" algn="l"/>
          <a:r>
            <a:rPr lang="en-US" sz="1100">
              <a:latin typeface="+mn-lt"/>
              <a:ea typeface="+mn-lt"/>
              <a:cs typeface="+mn-lt"/>
            </a:rPr>
            <a:t>This calculates the effective delivered basis after freight adjustments have been applied.</a:t>
          </a:r>
        </a:p>
        <a:p>
          <a:pPr marL="0" indent="0" algn="l"/>
          <a:endParaRPr lang="en-US" sz="1100">
            <a:latin typeface="+mn-lt"/>
            <a:ea typeface="+mn-lt"/>
            <a:cs typeface="+mn-lt"/>
          </a:endParaRPr>
        </a:p>
        <a:p>
          <a:pPr marL="0" indent="0" algn="l"/>
          <a:r>
            <a:rPr lang="en-US" sz="1100">
              <a:latin typeface="+mn-lt"/>
              <a:ea typeface="+mn-lt"/>
              <a:cs typeface="+mn-lt"/>
            </a:rPr>
            <a:t>- Sale Price</a:t>
          </a:r>
        </a:p>
        <a:p>
          <a:pPr marL="0" indent="0" algn="l"/>
          <a:r>
            <a:rPr lang="en-US" sz="1100">
              <a:latin typeface="+mn-lt"/>
              <a:ea typeface="+mn-lt"/>
              <a:cs typeface="+mn-lt"/>
            </a:rPr>
            <a:t>The Sale Price field is calculated automatically.</a:t>
          </a:r>
          <a:endParaRPr lang="en-US" sz="1100" i="1">
            <a:latin typeface="+mn-lt"/>
            <a:ea typeface="+mn-lt"/>
            <a:cs typeface="+mn-lt"/>
          </a:endParaRPr>
        </a:p>
        <a:p>
          <a:pPr marL="0" indent="0" algn="l"/>
          <a:r>
            <a:rPr lang="en-US" sz="1100" i="1">
              <a:latin typeface="+mn-lt"/>
              <a:ea typeface="+mn-lt"/>
              <a:cs typeface="+mn-lt"/>
            </a:rPr>
            <a:t>Formula: Sale Price = Futures Price + Net Basis</a:t>
          </a:r>
        </a:p>
        <a:p>
          <a:pPr marL="0" indent="0" algn="l"/>
          <a:r>
            <a:rPr lang="en-US" sz="1100">
              <a:latin typeface="+mn-lt"/>
              <a:ea typeface="+mn-lt"/>
              <a:cs typeface="+mn-lt"/>
            </a:rPr>
            <a:t>This provides the delivered cash sales price and ensures pricing consistency across contracts.</a:t>
          </a:r>
        </a:p>
        <a:p>
          <a:pPr marL="0" indent="0" algn="l"/>
          <a:endParaRPr lang="en-US" sz="1100">
            <a:latin typeface="+mn-lt"/>
            <a:ea typeface="+mn-lt"/>
            <a:cs typeface="+mn-lt"/>
          </a:endParaRPr>
        </a:p>
        <a:p>
          <a:pPr marL="0" indent="0" algn="l"/>
          <a:r>
            <a:rPr lang="en-US" sz="1100">
              <a:latin typeface="+mn-lt"/>
              <a:ea typeface="+mn-lt"/>
              <a:cs typeface="+mn-lt"/>
            </a:rPr>
            <a:t>- Shipped Bushels</a:t>
          </a:r>
        </a:p>
        <a:p>
          <a:pPr marL="0" indent="0" algn="l"/>
          <a:r>
            <a:rPr lang="en-US" sz="1100">
              <a:latin typeface="+mn-lt"/>
              <a:ea typeface="+mn-lt"/>
              <a:cs typeface="+mn-lt"/>
            </a:rPr>
            <a:t>The Shipped Bushels field is updated automatically from the Outbound Scale Tickets tab.</a:t>
          </a:r>
        </a:p>
        <a:p>
          <a:pPr marL="0" indent="0" algn="l"/>
          <a:r>
            <a:rPr lang="en-US" sz="1100">
              <a:latin typeface="+mn-lt"/>
              <a:ea typeface="+mn-lt"/>
              <a:cs typeface="+mn-lt"/>
            </a:rPr>
            <a:t>This provides real-time shipment tracking and eliminates manual shipment reconciliation.</a:t>
          </a:r>
        </a:p>
        <a:p>
          <a:pPr marL="0" indent="0" algn="l"/>
          <a:endParaRPr lang="en-US" sz="1100">
            <a:latin typeface="+mn-lt"/>
            <a:ea typeface="+mn-lt"/>
            <a:cs typeface="+mn-lt"/>
          </a:endParaRPr>
        </a:p>
        <a:p>
          <a:pPr marL="0" indent="0" algn="l"/>
          <a:r>
            <a:rPr lang="en-US" sz="1100">
              <a:latin typeface="+mn-lt"/>
              <a:ea typeface="+mn-lt"/>
              <a:cs typeface="+mn-lt"/>
            </a:rPr>
            <a:t>- Remaining Bushels</a:t>
          </a:r>
        </a:p>
        <a:p>
          <a:pPr marL="0" indent="0" algn="l"/>
          <a:r>
            <a:rPr lang="en-US" sz="1100">
              <a:latin typeface="+mn-lt"/>
              <a:ea typeface="+mn-lt"/>
              <a:cs typeface="+mn-lt"/>
            </a:rPr>
            <a:t>The Remaining Bushels field is calculated automatically.</a:t>
          </a:r>
          <a:endParaRPr lang="en-US" sz="1100" i="1">
            <a:latin typeface="+mn-lt"/>
            <a:ea typeface="+mn-lt"/>
            <a:cs typeface="+mn-lt"/>
          </a:endParaRPr>
        </a:p>
        <a:p>
          <a:pPr marL="0" indent="0" algn="l"/>
          <a:r>
            <a:rPr lang="en-US" sz="1100" i="1">
              <a:latin typeface="+mn-lt"/>
              <a:ea typeface="+mn-lt"/>
              <a:cs typeface="+mn-lt"/>
            </a:rPr>
            <a:t>Formula: Remaining Bushels = Contracted Bushels − Shipped Bushels</a:t>
          </a:r>
          <a:endParaRPr lang="en-US" sz="1100">
            <a:latin typeface="+mn-lt"/>
            <a:ea typeface="+mn-lt"/>
            <a:cs typeface="+mn-lt"/>
          </a:endParaRPr>
        </a:p>
        <a:p>
          <a:pPr marL="0" indent="0" algn="l"/>
          <a:r>
            <a:rPr lang="en-US" sz="1100">
              <a:latin typeface="+mn-lt"/>
              <a:ea typeface="+mn-lt"/>
              <a:cs typeface="+mn-lt"/>
            </a:rPr>
            <a:t>This provides visibility into outstanding shipment obligations.</a:t>
          </a:r>
        </a:p>
        <a:p>
          <a:pPr marL="0" indent="0" algn="l"/>
          <a:endParaRPr lang="en-US" sz="1100">
            <a:latin typeface="+mn-lt"/>
            <a:ea typeface="+mn-lt"/>
            <a:cs typeface="+mn-lt"/>
          </a:endParaRPr>
        </a:p>
        <a:p>
          <a:pPr marL="0" indent="0" algn="l"/>
          <a:r>
            <a:rPr lang="en-US" sz="1100">
              <a:latin typeface="+mn-lt"/>
              <a:ea typeface="+mn-lt"/>
              <a:cs typeface="+mn-lt"/>
            </a:rPr>
            <a:t>- Fill Percentage</a:t>
          </a:r>
        </a:p>
        <a:p>
          <a:pPr marL="0" indent="0" algn="l"/>
          <a:r>
            <a:rPr lang="en-US" sz="1100">
              <a:latin typeface="+mn-lt"/>
              <a:ea typeface="+mn-lt"/>
              <a:cs typeface="+mn-lt"/>
            </a:rPr>
            <a:t>The Fill Percentage field is calculated automatically.</a:t>
          </a:r>
          <a:endParaRPr lang="en-US" sz="1100" i="1">
            <a:latin typeface="+mn-lt"/>
            <a:ea typeface="+mn-lt"/>
            <a:cs typeface="+mn-lt"/>
          </a:endParaRPr>
        </a:p>
        <a:p>
          <a:pPr marL="0" indent="0" algn="l"/>
          <a:r>
            <a:rPr lang="en-US" sz="1100" i="1">
              <a:latin typeface="+mn-lt"/>
              <a:ea typeface="+mn-lt"/>
              <a:cs typeface="+mn-lt"/>
            </a:rPr>
            <a:t>Formula: Fill % = Shipped Bushels ÷ Contracted Bushels</a:t>
          </a:r>
          <a:endParaRPr lang="en-US" sz="1100">
            <a:latin typeface="+mn-lt"/>
            <a:ea typeface="+mn-lt"/>
            <a:cs typeface="+mn-lt"/>
          </a:endParaRPr>
        </a:p>
        <a:p>
          <a:pPr marL="0" indent="0" algn="l"/>
          <a:r>
            <a:rPr lang="en-US" sz="1100">
              <a:latin typeface="+mn-lt"/>
              <a:ea typeface="+mn-lt"/>
              <a:cs typeface="+mn-lt"/>
            </a:rPr>
            <a:t>This allows users to monitor shipment progress and identify contracts nearing completion.</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Reference Data Tables</a:t>
          </a:r>
          <a:endParaRPr lang="en-US" sz="1100" b="1" u="none">
            <a:latin typeface="+mn-lt"/>
            <a:ea typeface="+mn-lt"/>
            <a:cs typeface="+mn-lt"/>
          </a:endParaRPr>
        </a:p>
        <a:p>
          <a:pPr marL="0" indent="0" algn="l"/>
          <a:r>
            <a:rPr lang="en-US" sz="1100" b="1" u="none">
              <a:latin typeface="+mn-lt"/>
              <a:ea typeface="+mn-lt"/>
              <a:cs typeface="+mn-lt"/>
            </a:rPr>
            <a:t>- </a:t>
          </a:r>
          <a:r>
            <a:rPr lang="en-US" sz="1100" u="none">
              <a:latin typeface="+mn-lt"/>
              <a:ea typeface="+mn-lt"/>
              <a:cs typeface="+mn-lt"/>
            </a:rPr>
            <a:t>D</a:t>
          </a:r>
          <a:r>
            <a:rPr lang="en-US" sz="1100">
              <a:latin typeface="+mn-lt"/>
              <a:ea typeface="+mn-lt"/>
              <a:cs typeface="+mn-lt"/>
            </a:rPr>
            <a:t>estination Freight Rates</a:t>
          </a:r>
        </a:p>
        <a:p>
          <a:pPr marL="0" indent="0" algn="l"/>
          <a:r>
            <a:rPr lang="en-US" sz="1100">
              <a:latin typeface="+mn-lt"/>
              <a:ea typeface="+mn-lt"/>
              <a:cs typeface="+mn-lt"/>
            </a:rPr>
            <a:t>The Destination Freight Rates table stores freight adjustments by destination.</a:t>
          </a:r>
        </a:p>
        <a:p>
          <a:pPr marL="0" indent="0" algn="l"/>
          <a:r>
            <a:rPr lang="en-US" sz="1100">
              <a:latin typeface="+mn-lt"/>
              <a:ea typeface="+mn-lt"/>
              <a:cs typeface="+mn-lt"/>
            </a:rPr>
            <a:t>This table serves as the reference source for automatic freight calculations and ensures pricing assumptions remain consistent across all destinations.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Operational Benefits</a:t>
          </a:r>
          <a:endParaRPr lang="en-US" sz="1100" b="1" u="none">
            <a:latin typeface="+mn-lt"/>
            <a:ea typeface="+mn-lt"/>
            <a:cs typeface="+mn-lt"/>
          </a:endParaRPr>
        </a:p>
        <a:p>
          <a:pPr marL="0" indent="0" algn="l"/>
          <a:r>
            <a:rPr lang="en-US" sz="1100" b="1" u="none">
              <a:latin typeface="+mn-lt"/>
              <a:ea typeface="+mn-lt"/>
              <a:cs typeface="+mn-lt"/>
            </a:rPr>
            <a:t>- </a:t>
          </a:r>
          <a:r>
            <a:rPr lang="en-US" sz="1100" u="none">
              <a:latin typeface="+mn-lt"/>
              <a:ea typeface="+mn-lt"/>
              <a:cs typeface="+mn-lt"/>
            </a:rPr>
            <a:t>C</a:t>
          </a:r>
          <a:r>
            <a:rPr lang="en-US" sz="1100">
              <a:latin typeface="+mn-lt"/>
              <a:ea typeface="+mn-lt"/>
              <a:cs typeface="+mn-lt"/>
            </a:rPr>
            <a:t>entralized Sales Contract Management</a:t>
          </a:r>
        </a:p>
        <a:p>
          <a:pPr marL="0" indent="0" algn="l"/>
          <a:r>
            <a:rPr lang="en-US" sz="1100">
              <a:latin typeface="+mn-lt"/>
              <a:ea typeface="+mn-lt"/>
              <a:cs typeface="+mn-lt"/>
            </a:rPr>
            <a:t>All sales commitments, destination information, pricing details, and shipment obligations are maintained within a single location.</a:t>
          </a:r>
        </a:p>
        <a:p>
          <a:pPr marL="0" indent="0" algn="l"/>
          <a:endParaRPr lang="en-US" sz="1100">
            <a:latin typeface="+mn-lt"/>
            <a:ea typeface="+mn-lt"/>
            <a:cs typeface="+mn-lt"/>
          </a:endParaRPr>
        </a:p>
        <a:p>
          <a:pPr marL="0" indent="0" algn="l"/>
          <a:r>
            <a:rPr lang="en-US" sz="1100">
              <a:latin typeface="+mn-lt"/>
              <a:ea typeface="+mn-lt"/>
              <a:cs typeface="+mn-lt"/>
            </a:rPr>
            <a:t>- Real-Time Shipment Visibility</a:t>
          </a:r>
        </a:p>
        <a:p>
          <a:pPr marL="0" indent="0" algn="l"/>
          <a:r>
            <a:rPr lang="en-US" sz="1100">
              <a:latin typeface="+mn-lt"/>
              <a:ea typeface="+mn-lt"/>
              <a:cs typeface="+mn-lt"/>
            </a:rPr>
            <a:t>As outbound shipments are entered through the Outbound Scale Tickets tab, contract fulfillment metrics automatically update within the Sales Contracts tab.</a:t>
          </a:r>
        </a:p>
        <a:p>
          <a:pPr marL="0" indent="0" algn="l"/>
          <a:endParaRPr lang="en-US" sz="1100">
            <a:latin typeface="+mn-lt"/>
            <a:ea typeface="+mn-lt"/>
            <a:cs typeface="+mn-lt"/>
          </a:endParaRPr>
        </a:p>
        <a:p>
          <a:pPr marL="0" indent="0" algn="l"/>
          <a:r>
            <a:rPr lang="en-US" sz="1100">
              <a:latin typeface="+mn-lt"/>
              <a:ea typeface="+mn-lt"/>
              <a:cs typeface="+mn-lt"/>
            </a:rPr>
            <a:t>- Delivered Pricing Transparency</a:t>
          </a:r>
        </a:p>
        <a:p>
          <a:pPr marL="0" indent="0" algn="l"/>
          <a:r>
            <a:rPr lang="en-US" sz="1100">
              <a:latin typeface="+mn-lt"/>
              <a:ea typeface="+mn-lt"/>
              <a:cs typeface="+mn-lt"/>
            </a:rPr>
            <a:t>Automatic freight and basis calculations provide immediate visibility into delivered pricing economics across destinations.</a:t>
          </a:r>
        </a:p>
        <a:p>
          <a:pPr marL="0" indent="0" algn="l"/>
          <a:endParaRPr lang="en-US" sz="1100">
            <a:latin typeface="+mn-lt"/>
            <a:ea typeface="+mn-lt"/>
            <a:cs typeface="+mn-lt"/>
          </a:endParaRPr>
        </a:p>
        <a:p>
          <a:pPr marL="0" indent="0" algn="l"/>
          <a:r>
            <a:rPr lang="en-US" sz="1100">
              <a:latin typeface="+mn-lt"/>
              <a:ea typeface="+mn-lt"/>
              <a:cs typeface="+mn-lt"/>
            </a:rPr>
            <a:t>- Position Integration</a:t>
          </a:r>
        </a:p>
        <a:p>
          <a:pPr marL="0" indent="0" algn="l"/>
          <a:r>
            <a:rPr lang="en-US" sz="1100">
              <a:latin typeface="+mn-lt"/>
              <a:ea typeface="+mn-lt"/>
              <a:cs typeface="+mn-lt"/>
            </a:rPr>
            <a:t>Sales contract activity automatically feeds the Position and Dashboard tabs, ensuring shipment obligations and commercial exposure remain current throughout the workbook.</a:t>
          </a:r>
        </a:p>
        <a:p>
          <a:pPr marL="0" indent="0" algn="l"/>
          <a:endParaRPr lang="en-US" sz="1100">
            <a:latin typeface="+mn-lt"/>
            <a:ea typeface="+mn-lt"/>
            <a:cs typeface="+mn-lt"/>
          </a:endParaRPr>
        </a:p>
      </xdr:txBody>
    </xdr:sp>
    <xdr:clientData/>
  </xdr:twoCellAnchor>
  <xdr:twoCellAnchor>
    <xdr:from>
      <xdr:col>0</xdr:col>
      <xdr:colOff>0</xdr:colOff>
      <xdr:row>124</xdr:row>
      <xdr:rowOff>0</xdr:rowOff>
    </xdr:from>
    <xdr:to>
      <xdr:col>11</xdr:col>
      <xdr:colOff>600075</xdr:colOff>
      <xdr:row>181</xdr:row>
      <xdr:rowOff>0</xdr:rowOff>
    </xdr:to>
    <xdr:sp macro="" textlink="">
      <xdr:nvSpPr>
        <xdr:cNvPr id="7" name="TextBox 6">
          <a:extLst>
            <a:ext uri="{FF2B5EF4-FFF2-40B4-BE49-F238E27FC236}">
              <a16:creationId xmlns:a16="http://schemas.microsoft.com/office/drawing/2014/main" id="{B41C43F8-07FF-1442-E556-EFB6D57E57EF}"/>
            </a:ext>
            <a:ext uri="{147F2762-F138-4A5C-976F-8EAC2B608ADB}">
              <a16:predDERef xmlns:a16="http://schemas.microsoft.com/office/drawing/2014/main" pred="{66C23913-F6F4-4865-FB71-C2E01728BCCA}"/>
            </a:ext>
          </a:extLst>
        </xdr:cNvPr>
        <xdr:cNvSpPr txBox="1"/>
      </xdr:nvSpPr>
      <xdr:spPr>
        <a:xfrm>
          <a:off x="0" y="24117300"/>
          <a:ext cx="7305675" cy="10858500"/>
        </a:xfrm>
        <a:prstGeom prst="rect">
          <a:avLst/>
        </a:prstGeom>
        <a:solidFill>
          <a:schemeClr val="accent6">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u="sng">
              <a:latin typeface="+mn-lt"/>
              <a:ea typeface="+mn-lt"/>
              <a:cs typeface="+mn-lt"/>
            </a:rPr>
            <a:t>Purpose</a:t>
          </a:r>
          <a:endParaRPr lang="en-US" sz="1100">
            <a:latin typeface="+mn-lt"/>
            <a:ea typeface="+mn-lt"/>
            <a:cs typeface="+mn-lt"/>
          </a:endParaRPr>
        </a:p>
        <a:p>
          <a:pPr marL="0" indent="0" algn="l"/>
          <a:r>
            <a:rPr lang="en-US" sz="1100">
              <a:latin typeface="+mn-lt"/>
              <a:ea typeface="+mn-lt"/>
              <a:cs typeface="+mn-lt"/>
            </a:rPr>
            <a:t>The Outbound Scale Tickets tab captures and processes grain shipment information delivered to end-use customers and destination facilities. The tab stores shipment details, destination quality results, settlement deductions, and shipment weights while automatically calculating net weight, destination deductions, and net bushels. These records are used to track sales contract fulfillment and support commercial position reporting throughout the workbook.</a:t>
          </a:r>
        </a:p>
        <a:p>
          <a:pPr marL="0" indent="0" algn="l"/>
          <a:endParaRPr lang="en-US" sz="1100">
            <a:latin typeface="+mn-lt"/>
            <a:ea typeface="+mn-lt"/>
            <a:cs typeface="+mn-lt"/>
          </a:endParaRPr>
        </a:p>
        <a:p>
          <a:pPr marL="0" indent="0" algn="l"/>
          <a:r>
            <a:rPr lang="en-US" sz="1100">
              <a:latin typeface="+mn-lt"/>
              <a:ea typeface="+mn-lt"/>
              <a:cs typeface="+mn-lt"/>
            </a:rPr>
            <a:t>Required Inputs</a:t>
          </a:r>
        </a:p>
        <a:p>
          <a:pPr marL="0" indent="0" algn="l"/>
          <a:r>
            <a:rPr lang="en-US" sz="1100">
              <a:latin typeface="+mn-lt"/>
              <a:ea typeface="+mn-lt"/>
              <a:cs typeface="+mn-lt"/>
            </a:rPr>
            <a:t>Users enter the following information when recording an outbound shipment:</a:t>
          </a:r>
        </a:p>
        <a:p>
          <a:pPr marL="0" indent="0" algn="l"/>
          <a:r>
            <a:rPr lang="en-US" sz="1100">
              <a:latin typeface="+mn-lt"/>
              <a:ea typeface="+mn-lt"/>
              <a:cs typeface="+mn-lt"/>
            </a:rPr>
            <a:t>* Ticket Number</a:t>
          </a:r>
        </a:p>
        <a:p>
          <a:pPr marL="0" indent="0" algn="l"/>
          <a:r>
            <a:rPr lang="en-US" sz="1100">
              <a:latin typeface="+mn-lt"/>
              <a:ea typeface="+mn-lt"/>
              <a:cs typeface="+mn-lt"/>
            </a:rPr>
            <a:t>* Sales Contract Number</a:t>
          </a:r>
        </a:p>
        <a:p>
          <a:pPr marL="0" indent="0" algn="l"/>
          <a:r>
            <a:rPr lang="en-US" sz="1100">
              <a:latin typeface="+mn-lt"/>
              <a:ea typeface="+mn-lt"/>
              <a:cs typeface="+mn-lt"/>
            </a:rPr>
            <a:t>* Buyer</a:t>
          </a:r>
        </a:p>
        <a:p>
          <a:pPr marL="0" indent="0" algn="l"/>
          <a:r>
            <a:rPr lang="en-US" sz="1100">
              <a:latin typeface="+mn-lt"/>
              <a:ea typeface="+mn-lt"/>
              <a:cs typeface="+mn-lt"/>
            </a:rPr>
            <a:t>* Commodity</a:t>
          </a:r>
        </a:p>
        <a:p>
          <a:pPr marL="0" indent="0" algn="l"/>
          <a:r>
            <a:rPr lang="en-US" sz="1100">
              <a:latin typeface="+mn-lt"/>
              <a:ea typeface="+mn-lt"/>
              <a:cs typeface="+mn-lt"/>
            </a:rPr>
            <a:t>* Destination</a:t>
          </a:r>
        </a:p>
        <a:p>
          <a:pPr marL="0" indent="0" algn="l"/>
          <a:r>
            <a:rPr lang="en-US" sz="1100">
              <a:latin typeface="+mn-lt"/>
              <a:ea typeface="+mn-lt"/>
              <a:cs typeface="+mn-lt"/>
            </a:rPr>
            <a:t>* Driver</a:t>
          </a:r>
        </a:p>
        <a:p>
          <a:pPr marL="0" indent="0" algn="l"/>
          <a:r>
            <a:rPr lang="en-US" sz="1100">
              <a:latin typeface="+mn-lt"/>
              <a:ea typeface="+mn-lt"/>
              <a:cs typeface="+mn-lt"/>
            </a:rPr>
            <a:t>* License Plate</a:t>
          </a:r>
        </a:p>
        <a:p>
          <a:pPr marL="0" indent="0" algn="l"/>
          <a:r>
            <a:rPr lang="en-US" sz="1100">
              <a:latin typeface="+mn-lt"/>
              <a:ea typeface="+mn-lt"/>
              <a:cs typeface="+mn-lt"/>
            </a:rPr>
            <a:t>* Ship Date</a:t>
          </a:r>
        </a:p>
        <a:p>
          <a:pPr marL="0" indent="0" algn="l"/>
          <a:r>
            <a:rPr lang="en-US" sz="1100">
              <a:latin typeface="+mn-lt"/>
              <a:ea typeface="+mn-lt"/>
              <a:cs typeface="+mn-lt"/>
            </a:rPr>
            <a:t>* Time In</a:t>
          </a:r>
        </a:p>
        <a:p>
          <a:pPr marL="0" indent="0" algn="l"/>
          <a:r>
            <a:rPr lang="en-US" sz="1100">
              <a:latin typeface="+mn-lt"/>
              <a:ea typeface="+mn-lt"/>
              <a:cs typeface="+mn-lt"/>
            </a:rPr>
            <a:t>* Time Out</a:t>
          </a:r>
        </a:p>
        <a:p>
          <a:pPr marL="0" indent="0" algn="l"/>
          <a:r>
            <a:rPr lang="en-US" sz="1100">
              <a:latin typeface="+mn-lt"/>
              <a:ea typeface="+mn-lt"/>
              <a:cs typeface="+mn-lt"/>
            </a:rPr>
            <a:t>* Gross Weight</a:t>
          </a:r>
        </a:p>
        <a:p>
          <a:pPr marL="0" indent="0" algn="l"/>
          <a:r>
            <a:rPr lang="en-US" sz="1100">
              <a:latin typeface="+mn-lt"/>
              <a:ea typeface="+mn-lt"/>
              <a:cs typeface="+mn-lt"/>
            </a:rPr>
            <a:t>* Tare Weight</a:t>
          </a:r>
        </a:p>
        <a:p>
          <a:pPr marL="0" indent="0" algn="l"/>
          <a:r>
            <a:rPr lang="en-US" sz="1100">
              <a:latin typeface="+mn-lt"/>
              <a:ea typeface="+mn-lt"/>
              <a:cs typeface="+mn-lt"/>
            </a:rPr>
            <a:t>* Test Weight (TW)</a:t>
          </a:r>
        </a:p>
        <a:p>
          <a:pPr marL="0" indent="0" algn="l"/>
          <a:r>
            <a:rPr lang="en-US" sz="1100">
              <a:latin typeface="+mn-lt"/>
              <a:ea typeface="+mn-lt"/>
              <a:cs typeface="+mn-lt"/>
            </a:rPr>
            <a:t>* Moisture %</a:t>
          </a:r>
        </a:p>
        <a:p>
          <a:pPr marL="0" indent="0" algn="l"/>
          <a:r>
            <a:rPr lang="en-US" sz="1100">
              <a:latin typeface="+mn-lt"/>
              <a:ea typeface="+mn-lt"/>
              <a:cs typeface="+mn-lt"/>
            </a:rPr>
            <a:t>* Damage %</a:t>
          </a:r>
        </a:p>
        <a:p>
          <a:pPr marL="0" indent="0" algn="l"/>
          <a:r>
            <a:rPr lang="en-US" sz="1100">
              <a:latin typeface="+mn-lt"/>
              <a:ea typeface="+mn-lt"/>
              <a:cs typeface="+mn-lt"/>
            </a:rPr>
            <a:t>* Foreign Material (FM) %</a:t>
          </a:r>
        </a:p>
        <a:p>
          <a:pPr marL="0" indent="0" algn="l"/>
          <a:endParaRPr lang="en-US" sz="1100">
            <a:latin typeface="+mn-lt"/>
            <a:ea typeface="+mn-lt"/>
            <a:cs typeface="+mn-lt"/>
          </a:endParaRPr>
        </a:p>
        <a:p>
          <a:pPr marL="0" indent="0" algn="l"/>
          <a:r>
            <a:rPr lang="en-US" sz="1100">
              <a:latin typeface="+mn-lt"/>
              <a:ea typeface="+mn-lt"/>
              <a:cs typeface="+mn-lt"/>
            </a:rPr>
            <a:t>Automated Calculations</a:t>
          </a:r>
        </a:p>
        <a:p>
          <a:pPr marL="0" indent="0" algn="l"/>
          <a:r>
            <a:rPr lang="en-US" sz="1100">
              <a:latin typeface="+mn-lt"/>
              <a:ea typeface="+mn-lt"/>
              <a:cs typeface="+mn-lt"/>
            </a:rPr>
            <a:t>- Net Weight</a:t>
          </a:r>
        </a:p>
        <a:p>
          <a:pPr marL="0" indent="0" algn="l"/>
          <a:r>
            <a:rPr lang="en-US" sz="1100">
              <a:latin typeface="+mn-lt"/>
              <a:ea typeface="+mn-lt"/>
              <a:cs typeface="+mn-lt"/>
            </a:rPr>
            <a:t>The Net Weight field is calculated automatically.</a:t>
          </a:r>
          <a:endParaRPr lang="en-US" sz="1100" i="1">
            <a:latin typeface="+mn-lt"/>
            <a:ea typeface="+mn-lt"/>
            <a:cs typeface="+mn-lt"/>
          </a:endParaRPr>
        </a:p>
        <a:p>
          <a:pPr marL="0" indent="0" algn="l"/>
          <a:r>
            <a:rPr lang="en-US" sz="1100" i="1">
              <a:latin typeface="+mn-lt"/>
              <a:ea typeface="+mn-lt"/>
              <a:cs typeface="+mn-lt"/>
            </a:rPr>
            <a:t>Formula: Net Weight = Gross Weight − Tare Weight</a:t>
          </a:r>
          <a:endParaRPr lang="en-US" sz="1100">
            <a:latin typeface="+mn-lt"/>
            <a:ea typeface="+mn-lt"/>
            <a:cs typeface="+mn-lt"/>
          </a:endParaRPr>
        </a:p>
        <a:p>
          <a:pPr marL="0" indent="0" algn="l"/>
          <a:r>
            <a:rPr lang="en-US" sz="1100">
              <a:latin typeface="+mn-lt"/>
              <a:ea typeface="+mn-lt"/>
              <a:cs typeface="+mn-lt"/>
            </a:rPr>
            <a:t>This eliminates manual scale calculations and ensures accurate shipment records.</a:t>
          </a:r>
        </a:p>
        <a:p>
          <a:pPr marL="0" indent="0" algn="l"/>
          <a:endParaRPr lang="en-US" sz="1100">
            <a:latin typeface="+mn-lt"/>
            <a:ea typeface="+mn-lt"/>
            <a:cs typeface="+mn-lt"/>
          </a:endParaRPr>
        </a:p>
        <a:p>
          <a:pPr marL="0" indent="0" algn="l"/>
          <a:r>
            <a:rPr lang="en-US" sz="1100">
              <a:latin typeface="+mn-lt"/>
              <a:ea typeface="+mn-lt"/>
              <a:cs typeface="+mn-lt"/>
            </a:rPr>
            <a:t>- Destination Deduction ($/bu)</a:t>
          </a:r>
        </a:p>
        <a:p>
          <a:pPr marL="0" indent="0" algn="l"/>
          <a:r>
            <a:rPr lang="en-US" sz="1100">
              <a:latin typeface="+mn-lt"/>
              <a:ea typeface="+mn-lt"/>
              <a:cs typeface="+mn-lt"/>
            </a:rPr>
            <a:t>The Destination Deduction field is calculated automatically using destination quality specifications stored within the Destination Specs tab.</a:t>
          </a:r>
          <a:endParaRPr lang="en-US" sz="1100" i="1">
            <a:latin typeface="+mn-lt"/>
            <a:ea typeface="+mn-lt"/>
            <a:cs typeface="+mn-lt"/>
          </a:endParaRPr>
        </a:p>
        <a:p>
          <a:pPr marL="0" indent="0" algn="l"/>
          <a:r>
            <a:rPr lang="en-US" sz="1100" i="1">
              <a:latin typeface="+mn-lt"/>
              <a:ea typeface="+mn-lt"/>
              <a:cs typeface="+mn-lt"/>
            </a:rPr>
            <a:t>Formula: Moisture Deduction + Test Weight Deduction + Damage Deduction + Foreign Material Deduction</a:t>
          </a:r>
          <a:endParaRPr lang="en-US" sz="1100">
            <a:latin typeface="+mn-lt"/>
            <a:ea typeface="+mn-lt"/>
            <a:cs typeface="+mn-lt"/>
          </a:endParaRPr>
        </a:p>
        <a:p>
          <a:pPr marL="0" indent="0" algn="l"/>
          <a:r>
            <a:rPr lang="en-US" sz="1100">
              <a:latin typeface="+mn-lt"/>
              <a:ea typeface="+mn-lt"/>
              <a:cs typeface="+mn-lt"/>
            </a:rPr>
            <a:t>Applicable deductions are determined automatically based on destination-specific quality requirements and shipment quality results.</a:t>
          </a:r>
        </a:p>
        <a:p>
          <a:pPr marL="0" indent="0" algn="l"/>
          <a:endParaRPr lang="en-US" sz="1100">
            <a:latin typeface="+mn-lt"/>
            <a:ea typeface="+mn-lt"/>
            <a:cs typeface="+mn-lt"/>
          </a:endParaRPr>
        </a:p>
        <a:p>
          <a:pPr marL="0" indent="0" algn="l"/>
          <a:r>
            <a:rPr lang="en-US" sz="1100">
              <a:latin typeface="+mn-lt"/>
              <a:ea typeface="+mn-lt"/>
              <a:cs typeface="+mn-lt"/>
            </a:rPr>
            <a:t>- Net Bushels</a:t>
          </a:r>
        </a:p>
        <a:p>
          <a:pPr marL="0" indent="0" algn="l"/>
          <a:r>
            <a:rPr lang="en-US" sz="1100">
              <a:latin typeface="+mn-lt"/>
              <a:ea typeface="+mn-lt"/>
              <a:cs typeface="+mn-lt"/>
            </a:rPr>
            <a:t>The Net Bushels field is calculated automatically.</a:t>
          </a:r>
          <a:endParaRPr lang="en-US" sz="1100" i="1">
            <a:latin typeface="+mn-lt"/>
            <a:ea typeface="+mn-lt"/>
            <a:cs typeface="+mn-lt"/>
          </a:endParaRPr>
        </a:p>
        <a:p>
          <a:pPr marL="0" indent="0" algn="l"/>
          <a:r>
            <a:rPr lang="en-US" sz="1100" i="1">
              <a:latin typeface="+mn-lt"/>
              <a:ea typeface="+mn-lt"/>
              <a:cs typeface="+mn-lt"/>
            </a:rPr>
            <a:t>Formula: Net Bushels = Net Weight ÷ 56 (Corn) or Net Weight ÷ 60 (Soybeans)</a:t>
          </a:r>
          <a:endParaRPr lang="en-US" sz="1100">
            <a:latin typeface="+mn-lt"/>
            <a:ea typeface="+mn-lt"/>
            <a:cs typeface="+mn-lt"/>
          </a:endParaRPr>
        </a:p>
        <a:p>
          <a:pPr marL="0" indent="0" algn="l"/>
          <a:r>
            <a:rPr lang="en-US" sz="1100">
              <a:latin typeface="+mn-lt"/>
              <a:ea typeface="+mn-lt"/>
              <a:cs typeface="+mn-lt"/>
            </a:rPr>
            <a:t>The applicable conversion factor is determined automatically based on commodity type.</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Validation Controls</a:t>
          </a:r>
        </a:p>
        <a:p>
          <a:pPr marL="0" indent="0" algn="l"/>
          <a:r>
            <a:rPr lang="en-US" sz="1100" b="1" u="sng">
              <a:latin typeface="+mn-lt"/>
              <a:ea typeface="+mn-lt"/>
              <a:cs typeface="+mn-lt"/>
            </a:rPr>
            <a:t>- </a:t>
          </a:r>
          <a:r>
            <a:rPr lang="en-US" sz="1100">
              <a:latin typeface="+mn-lt"/>
              <a:ea typeface="+mn-lt"/>
              <a:cs typeface="+mn-lt"/>
            </a:rPr>
            <a:t>Sales Contract Numbers are validated against active contracts within the Sale Contracts tab.</a:t>
          </a:r>
        </a:p>
        <a:p>
          <a:pPr marL="0" indent="0" algn="l"/>
          <a:r>
            <a:rPr lang="en-US" sz="1100">
              <a:latin typeface="+mn-lt"/>
              <a:ea typeface="+mn-lt"/>
              <a:cs typeface="+mn-lt"/>
            </a:rPr>
            <a:t>-  Commodity values are restricted to approved commodity types.</a:t>
          </a:r>
        </a:p>
        <a:p>
          <a:pPr marL="0" indent="0" algn="l"/>
          <a:r>
            <a:rPr lang="en-US" sz="1100">
              <a:latin typeface="+mn-lt"/>
              <a:ea typeface="+mn-lt"/>
              <a:cs typeface="+mn-lt"/>
            </a:rPr>
            <a:t>- Destination values are restricted to approved destination locations.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Operational Notes</a:t>
          </a:r>
        </a:p>
        <a:p>
          <a:pPr marL="0" indent="0" algn="l"/>
          <a:r>
            <a:rPr lang="en-US" sz="1100" b="1" u="sng">
              <a:latin typeface="+mn-lt"/>
              <a:ea typeface="+mn-lt"/>
              <a:cs typeface="+mn-lt"/>
            </a:rPr>
            <a:t>-</a:t>
          </a:r>
          <a:r>
            <a:rPr lang="en-US" sz="1100">
              <a:latin typeface="+mn-lt"/>
              <a:ea typeface="+mn-lt"/>
              <a:cs typeface="+mn-lt"/>
            </a:rPr>
            <a:t> Each outbound ticket must be associated with an existing sales contract.</a:t>
          </a:r>
        </a:p>
        <a:p>
          <a:pPr marL="0" indent="0" algn="l"/>
          <a:r>
            <a:rPr lang="en-US" sz="1100">
              <a:latin typeface="+mn-lt"/>
              <a:ea typeface="+mn-lt"/>
              <a:cs typeface="+mn-lt"/>
            </a:rPr>
            <a:t>- Quality measurements are evaluated against destination specifications.</a:t>
          </a:r>
        </a:p>
        <a:p>
          <a:pPr marL="0" indent="0" algn="l"/>
          <a:r>
            <a:rPr lang="en-US" sz="1100">
              <a:latin typeface="+mn-lt"/>
              <a:ea typeface="+mn-lt"/>
              <a:cs typeface="+mn-lt"/>
            </a:rPr>
            <a:t>- Settlement deductions are sourced from the Destination Specs tab.</a:t>
          </a:r>
        </a:p>
        <a:p>
          <a:pPr marL="0" indent="0" algn="l"/>
          <a:r>
            <a:rPr lang="en-US" sz="1100">
              <a:latin typeface="+mn-lt"/>
              <a:ea typeface="+mn-lt"/>
              <a:cs typeface="+mn-lt"/>
            </a:rPr>
            <a:t>- Shipment activity automatically updates sales contract fulfillment metrics throughout the workbook.</a:t>
          </a:r>
        </a:p>
        <a:p>
          <a:pPr marL="0" indent="0" algn="l"/>
          <a:r>
            <a:rPr lang="en-US" sz="1100">
              <a:latin typeface="+mn-lt"/>
              <a:ea typeface="+mn-lt"/>
              <a:cs typeface="+mn-lt"/>
            </a:rPr>
            <a:t>- Net bushels serve as the official shipped volume used for sales contract reconciliation and commercial position reporting.</a:t>
          </a:r>
        </a:p>
        <a:p>
          <a:pPr marL="0" indent="0" algn="l"/>
          <a:r>
            <a:rPr lang="en-US" sz="1100">
              <a:latin typeface="+mn-lt"/>
              <a:ea typeface="+mn-lt"/>
              <a:cs typeface="+mn-lt"/>
            </a:rPr>
            <a:t>- The tab is intended to simulate destination settlement reporting received from processors, export facilities, feed mills, and other grain customers.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Data Integration</a:t>
          </a:r>
        </a:p>
        <a:p>
          <a:pPr marL="0" indent="0" algn="l"/>
          <a:r>
            <a:rPr lang="en-US" sz="1100" b="1" u="sng">
              <a:latin typeface="+mn-lt"/>
              <a:ea typeface="+mn-lt"/>
              <a:cs typeface="+mn-lt"/>
            </a:rPr>
            <a:t>-</a:t>
          </a:r>
          <a:r>
            <a:rPr lang="en-US" sz="1100">
              <a:latin typeface="+mn-lt"/>
              <a:ea typeface="+mn-lt"/>
              <a:cs typeface="+mn-lt"/>
            </a:rPr>
            <a:t> Sales Contract Numbers are sourced from the Sale Contracts tab.</a:t>
          </a:r>
        </a:p>
        <a:p>
          <a:pPr marL="0" indent="0" algn="l"/>
          <a:r>
            <a:rPr lang="en-US" sz="1100">
              <a:latin typeface="+mn-lt"/>
              <a:ea typeface="+mn-lt"/>
              <a:cs typeface="+mn-lt"/>
            </a:rPr>
            <a:t>- Settlement deduction values are sourced from the Destination Specs tab.</a:t>
          </a:r>
        </a:p>
        <a:p>
          <a:pPr marL="0" indent="0" algn="l"/>
          <a:r>
            <a:rPr lang="en-US" sz="1100">
              <a:latin typeface="+mn-lt"/>
              <a:ea typeface="+mn-lt"/>
              <a:cs typeface="+mn-lt"/>
            </a:rPr>
            <a:t>- Shipped Bushels are automatically transferred to the Sale Contracts tab.</a:t>
          </a:r>
        </a:p>
        <a:p>
          <a:pPr marL="0" indent="0" algn="l"/>
          <a:r>
            <a:rPr lang="en-US" sz="1100">
              <a:latin typeface="+mn-lt"/>
              <a:ea typeface="+mn-lt"/>
              <a:cs typeface="+mn-lt"/>
            </a:rPr>
            <a:t>- Shipment activity feeds Position and Dashboard reporting.</a:t>
          </a:r>
        </a:p>
        <a:p>
          <a:pPr marL="0" indent="0" algn="l"/>
          <a:endParaRPr lang="en-US" sz="1100">
            <a:latin typeface="+mn-lt"/>
            <a:ea typeface="+mn-lt"/>
            <a:cs typeface="+mn-lt"/>
          </a:endParaRPr>
        </a:p>
      </xdr:txBody>
    </xdr:sp>
    <xdr:clientData/>
  </xdr:twoCellAnchor>
  <xdr:twoCellAnchor>
    <xdr:from>
      <xdr:col>12</xdr:col>
      <xdr:colOff>0</xdr:colOff>
      <xdr:row>134</xdr:row>
      <xdr:rowOff>180975</xdr:rowOff>
    </xdr:from>
    <xdr:to>
      <xdr:col>23</xdr:col>
      <xdr:colOff>581025</xdr:colOff>
      <xdr:row>190</xdr:row>
      <xdr:rowOff>180975</xdr:rowOff>
    </xdr:to>
    <xdr:sp macro="" textlink="">
      <xdr:nvSpPr>
        <xdr:cNvPr id="8" name="TextBox 7">
          <a:extLst>
            <a:ext uri="{FF2B5EF4-FFF2-40B4-BE49-F238E27FC236}">
              <a16:creationId xmlns:a16="http://schemas.microsoft.com/office/drawing/2014/main" id="{21166276-CC16-35AA-AC78-99FB64827E91}"/>
            </a:ext>
            <a:ext uri="{147F2762-F138-4A5C-976F-8EAC2B608ADB}">
              <a16:predDERef xmlns:a16="http://schemas.microsoft.com/office/drawing/2014/main" pred="{B41C43F8-07FF-1442-E556-EFB6D57E57EF}"/>
            </a:ext>
          </a:extLst>
        </xdr:cNvPr>
        <xdr:cNvSpPr txBox="1"/>
      </xdr:nvSpPr>
      <xdr:spPr>
        <a:xfrm>
          <a:off x="7315200" y="26203275"/>
          <a:ext cx="7286625" cy="10668000"/>
        </a:xfrm>
        <a:prstGeom prst="rect">
          <a:avLst/>
        </a:prstGeom>
        <a:solidFill>
          <a:schemeClr val="accent4">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u="sng">
              <a:latin typeface="+mn-lt"/>
              <a:ea typeface="+mn-lt"/>
              <a:cs typeface="+mn-lt"/>
            </a:rPr>
            <a:t>Purpose</a:t>
          </a:r>
          <a:endParaRPr lang="en-US" sz="1100">
            <a:latin typeface="+mn-lt"/>
            <a:ea typeface="+mn-lt"/>
            <a:cs typeface="+mn-lt"/>
          </a:endParaRPr>
        </a:p>
        <a:p>
          <a:pPr marL="0" indent="0" algn="l"/>
          <a:r>
            <a:rPr lang="en-US" sz="1100">
              <a:latin typeface="+mn-lt"/>
              <a:ea typeface="+mn-lt"/>
              <a:cs typeface="+mn-lt"/>
            </a:rPr>
            <a:t>The Destination Specs tab serves as the central destination quality reference source for the workbook. It stores buyer-specific quality specifications used to determine settlement deductions on outbound grain shipments and provides the lookup values referenced by the Outbound Scale Tickets tab.</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Reference Data</a:t>
          </a:r>
        </a:p>
        <a:p>
          <a:pPr marL="0" indent="0" algn="l"/>
          <a:r>
            <a:rPr lang="en-US" sz="1100">
              <a:latin typeface="+mn-lt"/>
              <a:ea typeface="+mn-lt"/>
              <a:cs typeface="+mn-lt"/>
            </a:rPr>
            <a:t>The tab contains separate destination specification schedules for:</a:t>
          </a:r>
          <a:endParaRPr lang="en-US" sz="1100" b="1">
            <a:latin typeface="+mn-lt"/>
            <a:ea typeface="+mn-lt"/>
            <a:cs typeface="+mn-lt"/>
          </a:endParaRPr>
        </a:p>
        <a:p>
          <a:pPr marL="0" indent="0" algn="l"/>
          <a:r>
            <a:rPr lang="en-US" sz="1100" b="1">
              <a:latin typeface="+mn-lt"/>
              <a:ea typeface="+mn-lt"/>
              <a:cs typeface="+mn-lt"/>
            </a:rPr>
            <a:t>Corn Destinations</a:t>
          </a:r>
          <a:endParaRPr lang="en-US" sz="1100">
            <a:latin typeface="+mn-lt"/>
            <a:ea typeface="+mn-lt"/>
            <a:cs typeface="+mn-lt"/>
          </a:endParaRPr>
        </a:p>
        <a:p>
          <a:pPr marL="0" indent="0" algn="l"/>
          <a:r>
            <a:rPr lang="en-US" sz="1100">
              <a:latin typeface="+mn-lt"/>
              <a:ea typeface="+mn-lt"/>
              <a:cs typeface="+mn-lt"/>
            </a:rPr>
            <a:t>* Bayport Ethanol</a:t>
          </a:r>
        </a:p>
        <a:p>
          <a:pPr marL="0" indent="0" algn="l"/>
          <a:r>
            <a:rPr lang="en-US" sz="1100">
              <a:latin typeface="+mn-lt"/>
              <a:ea typeface="+mn-lt"/>
              <a:cs typeface="+mn-lt"/>
            </a:rPr>
            <a:t>* Gulf Coast Feed</a:t>
          </a:r>
        </a:p>
        <a:p>
          <a:pPr marL="0" indent="0" algn="l"/>
          <a:r>
            <a:rPr lang="en-US" sz="1100">
              <a:latin typeface="+mn-lt"/>
              <a:ea typeface="+mn-lt"/>
              <a:cs typeface="+mn-lt"/>
            </a:rPr>
            <a:t>* Porter Feed Mill</a:t>
          </a:r>
        </a:p>
        <a:p>
          <a:pPr marL="0" indent="0" algn="l"/>
          <a:r>
            <a:rPr lang="en-US" sz="1100">
              <a:latin typeface="+mn-lt"/>
              <a:ea typeface="+mn-lt"/>
              <a:cs typeface="+mn-lt"/>
            </a:rPr>
            <a:t>* Sugar Land Milling</a:t>
          </a:r>
        </a:p>
        <a:p>
          <a:pPr marL="0" indent="0" algn="l"/>
          <a:r>
            <a:rPr lang="en-US" sz="1100">
              <a:latin typeface="+mn-lt"/>
              <a:ea typeface="+mn-lt"/>
              <a:cs typeface="+mn-lt"/>
            </a:rPr>
            <a:t>* Enterprise Ethanol</a:t>
          </a:r>
        </a:p>
        <a:p>
          <a:pPr marL="0" indent="0" algn="l"/>
          <a:r>
            <a:rPr lang="en-US" sz="1100">
              <a:latin typeface="+mn-lt"/>
              <a:ea typeface="+mn-lt"/>
              <a:cs typeface="+mn-lt"/>
            </a:rPr>
            <a:t>* Lone Star Export</a:t>
          </a:r>
          <a:endParaRPr lang="en-US" sz="1100" b="1">
            <a:latin typeface="+mn-lt"/>
            <a:ea typeface="+mn-lt"/>
            <a:cs typeface="+mn-lt"/>
          </a:endParaRPr>
        </a:p>
        <a:p>
          <a:pPr marL="0" indent="0" algn="l"/>
          <a:endParaRPr lang="en-US" sz="1100" b="1">
            <a:latin typeface="+mn-lt"/>
            <a:ea typeface="+mn-lt"/>
            <a:cs typeface="+mn-lt"/>
          </a:endParaRPr>
        </a:p>
        <a:p>
          <a:pPr marL="0" indent="0" algn="l"/>
          <a:r>
            <a:rPr lang="en-US" sz="1100" b="1">
              <a:latin typeface="+mn-lt"/>
              <a:ea typeface="+mn-lt"/>
              <a:cs typeface="+mn-lt"/>
            </a:rPr>
            <a:t>Soybean Destinations</a:t>
          </a:r>
        </a:p>
        <a:p>
          <a:pPr marL="0" indent="0" algn="l"/>
          <a:r>
            <a:rPr lang="en-US" sz="1100">
              <a:latin typeface="+mn-lt"/>
              <a:ea typeface="+mn-lt"/>
              <a:cs typeface="+mn-lt"/>
            </a:rPr>
            <a:t>* Texas Soy Processors</a:t>
          </a:r>
        </a:p>
        <a:p>
          <a:pPr marL="0" indent="0" algn="l"/>
          <a:r>
            <a:rPr lang="en-US" sz="1100">
              <a:latin typeface="+mn-lt"/>
              <a:ea typeface="+mn-lt"/>
              <a:cs typeface="+mn-lt"/>
            </a:rPr>
            <a:t>* Bay Area Crushing</a:t>
          </a:r>
        </a:p>
        <a:p>
          <a:pPr marL="0" indent="0" algn="l"/>
          <a:r>
            <a:rPr lang="en-US" sz="1100">
              <a:latin typeface="+mn-lt"/>
              <a:ea typeface="+mn-lt"/>
              <a:cs typeface="+mn-lt"/>
            </a:rPr>
            <a:t>* Lone Star Soy Processing</a:t>
          </a:r>
        </a:p>
        <a:p>
          <a:pPr marL="0" indent="0" algn="l"/>
          <a:r>
            <a:rPr lang="en-US" sz="1100">
              <a:latin typeface="+mn-lt"/>
              <a:ea typeface="+mn-lt"/>
              <a:cs typeface="+mn-lt"/>
            </a:rPr>
            <a:t>* Heritage Feed &amp; Oil</a:t>
          </a:r>
        </a:p>
        <a:p>
          <a:pPr marL="0" indent="0" algn="l"/>
          <a:r>
            <a:rPr lang="en-US" sz="1100">
              <a:latin typeface="+mn-lt"/>
              <a:ea typeface="+mn-lt"/>
              <a:cs typeface="+mn-lt"/>
            </a:rPr>
            <a:t>* Gulf Export Terminal</a:t>
          </a:r>
        </a:p>
        <a:p>
          <a:pPr marL="0" indent="0" algn="l"/>
          <a:r>
            <a:rPr lang="en-US" sz="1100">
              <a:latin typeface="+mn-lt"/>
              <a:ea typeface="+mn-lt"/>
              <a:cs typeface="+mn-lt"/>
            </a:rPr>
            <a:t>* Coastal Export Group</a:t>
          </a:r>
          <a:endParaRPr lang="en-US" sz="1100" b="1">
            <a:latin typeface="+mn-lt"/>
            <a:ea typeface="+mn-lt"/>
            <a:cs typeface="+mn-lt"/>
          </a:endParaRPr>
        </a:p>
        <a:p>
          <a:pPr marL="0" indent="0" algn="l"/>
          <a:endParaRPr lang="en-US" sz="1100" b="1">
            <a:latin typeface="+mn-lt"/>
            <a:ea typeface="+mn-lt"/>
            <a:cs typeface="+mn-lt"/>
          </a:endParaRPr>
        </a:p>
        <a:p>
          <a:pPr marL="0" indent="0" algn="l"/>
          <a:r>
            <a:rPr lang="en-US" sz="1100" b="1">
              <a:latin typeface="+mn-lt"/>
              <a:ea typeface="+mn-lt"/>
              <a:cs typeface="+mn-lt"/>
            </a:rPr>
            <a:t>Each destination schedule includes:</a:t>
          </a:r>
        </a:p>
        <a:p>
          <a:pPr marL="0" indent="0" algn="l"/>
          <a:r>
            <a:rPr lang="en-US" sz="1100">
              <a:latin typeface="+mn-lt"/>
              <a:ea typeface="+mn-lt"/>
              <a:cs typeface="+mn-lt"/>
            </a:rPr>
            <a:t>* Quality Factor</a:t>
          </a:r>
        </a:p>
        <a:p>
          <a:pPr marL="0" indent="0" algn="l"/>
          <a:r>
            <a:rPr lang="en-US" sz="1100">
              <a:latin typeface="+mn-lt"/>
              <a:ea typeface="+mn-lt"/>
              <a:cs typeface="+mn-lt"/>
            </a:rPr>
            <a:t>* Low Threshold</a:t>
          </a:r>
        </a:p>
        <a:p>
          <a:pPr marL="0" indent="0" algn="l"/>
          <a:r>
            <a:rPr lang="en-US" sz="1100">
              <a:latin typeface="+mn-lt"/>
              <a:ea typeface="+mn-lt"/>
              <a:cs typeface="+mn-lt"/>
            </a:rPr>
            <a:t>* High Threshold</a:t>
          </a:r>
        </a:p>
        <a:p>
          <a:pPr marL="0" indent="0" algn="l"/>
          <a:r>
            <a:rPr lang="en-US" sz="1100">
              <a:latin typeface="+mn-lt"/>
              <a:ea typeface="+mn-lt"/>
              <a:cs typeface="+mn-lt"/>
            </a:rPr>
            <a:t>* Settlement Deduction ($/bu)</a:t>
          </a:r>
        </a:p>
        <a:p>
          <a:pPr marL="0" indent="0" algn="l"/>
          <a:endParaRPr lang="en-US" sz="1100">
            <a:latin typeface="+mn-lt"/>
            <a:ea typeface="+mn-lt"/>
            <a:cs typeface="+mn-lt"/>
          </a:endParaRPr>
        </a:p>
        <a:p>
          <a:pPr marL="0" indent="0" algn="l"/>
          <a:r>
            <a:rPr lang="en-US" sz="1100">
              <a:latin typeface="+mn-lt"/>
              <a:ea typeface="+mn-lt"/>
              <a:cs typeface="+mn-lt"/>
            </a:rPr>
            <a:t>Quality Factors</a:t>
          </a:r>
        </a:p>
        <a:p>
          <a:pPr marL="0" indent="0" algn="l"/>
          <a:r>
            <a:rPr lang="en-US" sz="1100">
              <a:latin typeface="+mn-lt"/>
              <a:ea typeface="+mn-lt"/>
              <a:cs typeface="+mn-lt"/>
            </a:rPr>
            <a:t>Destination specifications may include deductions for:</a:t>
          </a:r>
        </a:p>
        <a:p>
          <a:pPr marL="0" indent="0" algn="l"/>
          <a:r>
            <a:rPr lang="en-US" sz="1100">
              <a:latin typeface="+mn-lt"/>
              <a:ea typeface="+mn-lt"/>
              <a:cs typeface="+mn-lt"/>
            </a:rPr>
            <a:t>* Moisture</a:t>
          </a:r>
        </a:p>
        <a:p>
          <a:pPr marL="0" indent="0" algn="l"/>
          <a:r>
            <a:rPr lang="en-US" sz="1100">
              <a:latin typeface="+mn-lt"/>
              <a:ea typeface="+mn-lt"/>
              <a:cs typeface="+mn-lt"/>
            </a:rPr>
            <a:t>* Damage</a:t>
          </a:r>
        </a:p>
        <a:p>
          <a:pPr marL="0" indent="0" algn="l"/>
          <a:r>
            <a:rPr lang="en-US" sz="1100">
              <a:latin typeface="+mn-lt"/>
              <a:ea typeface="+mn-lt"/>
              <a:cs typeface="+mn-lt"/>
            </a:rPr>
            <a:t>* Foreign Material (FM)</a:t>
          </a:r>
        </a:p>
        <a:p>
          <a:pPr marL="0" indent="0" algn="l"/>
          <a:endParaRPr lang="en-US" sz="1100" b="1">
            <a:latin typeface="+mn-lt"/>
            <a:ea typeface="+mn-lt"/>
            <a:cs typeface="+mn-lt"/>
          </a:endParaRPr>
        </a:p>
        <a:p>
          <a:pPr marL="0" indent="0" algn="l"/>
          <a:r>
            <a:rPr lang="en-US" sz="1100" b="1">
              <a:latin typeface="+mn-lt"/>
              <a:ea typeface="+mn-lt"/>
              <a:cs typeface="+mn-lt"/>
            </a:rPr>
            <a:t>Destination-Specific Quality Standards</a:t>
          </a:r>
        </a:p>
        <a:p>
          <a:pPr marL="0" indent="0" algn="l"/>
          <a:r>
            <a:rPr lang="en-US" sz="1100">
              <a:latin typeface="+mn-lt"/>
              <a:ea typeface="+mn-lt"/>
              <a:cs typeface="+mn-lt"/>
            </a:rPr>
            <a:t>Each buyer maintains independent quality specifications and deduction schedules. Certain destinations may apply stricter quality requirements or higher settlement deductions based on end-use requirements.</a:t>
          </a:r>
        </a:p>
        <a:p>
          <a:pPr marL="0" indent="0" algn="l"/>
          <a:r>
            <a:rPr lang="en-US" sz="1100">
              <a:latin typeface="+mn-lt"/>
              <a:ea typeface="+mn-lt"/>
              <a:cs typeface="+mn-lt"/>
            </a:rPr>
            <a:t>Settlement deductions are evaluated separately for each destination and are used to determine final shipment settlements.</a:t>
          </a:r>
        </a:p>
        <a:p>
          <a:pPr marL="0" indent="0" algn="l"/>
          <a:endParaRPr lang="en-US" sz="1100" b="1" u="sng">
            <a:latin typeface="+mn-lt"/>
            <a:ea typeface="+mn-lt"/>
            <a:cs typeface="+mn-lt"/>
          </a:endParaRPr>
        </a:p>
        <a:p>
          <a:pPr marL="0" indent="0" algn="l"/>
          <a:r>
            <a:rPr lang="en-US" sz="1100" b="1" u="sng">
              <a:latin typeface="+mn-lt"/>
              <a:ea typeface="+mn-lt"/>
              <a:cs typeface="+mn-lt"/>
            </a:rPr>
            <a:t>Automated Integration</a:t>
          </a:r>
          <a:endParaRPr lang="en-US" sz="1100">
            <a:latin typeface="+mn-lt"/>
            <a:ea typeface="+mn-lt"/>
            <a:cs typeface="+mn-lt"/>
          </a:endParaRPr>
        </a:p>
        <a:p>
          <a:pPr marL="0" indent="0" algn="l"/>
          <a:r>
            <a:rPr lang="en-US" sz="1100">
              <a:latin typeface="+mn-lt"/>
              <a:ea typeface="+mn-lt"/>
              <a:cs typeface="+mn-lt"/>
            </a:rPr>
            <a:t>- The Outbound Scale Tickets tab references this information automatically.</a:t>
          </a:r>
        </a:p>
        <a:p>
          <a:pPr marL="0" indent="0" algn="l"/>
          <a:r>
            <a:rPr lang="en-US" sz="1100">
              <a:latin typeface="+mn-lt"/>
              <a:ea typeface="+mn-lt"/>
              <a:cs typeface="+mn-lt"/>
            </a:rPr>
            <a:t>- Shipment quality measurements are evaluated against the selected destination's specifications.</a:t>
          </a:r>
        </a:p>
        <a:p>
          <a:pPr marL="0" indent="0" algn="l"/>
          <a:r>
            <a:rPr lang="en-US" sz="1100">
              <a:latin typeface="+mn-lt"/>
              <a:ea typeface="+mn-lt"/>
              <a:cs typeface="+mn-lt"/>
            </a:rPr>
            <a:t>- Applicable settlement deductions are calculated automatically.</a:t>
          </a:r>
        </a:p>
        <a:p>
          <a:pPr marL="0" indent="0" algn="l"/>
          <a:r>
            <a:rPr lang="en-US" sz="1100">
              <a:latin typeface="+mn-lt"/>
              <a:ea typeface="+mn-lt"/>
              <a:cs typeface="+mn-lt"/>
            </a:rPr>
            <a:t>- Settlement deduction values are transferred directly to outbound shipment records.</a:t>
          </a:r>
        </a:p>
        <a:p>
          <a:pPr marL="0" indent="0" algn="l"/>
          <a:r>
            <a:rPr lang="en-US" sz="1100">
              <a:latin typeface="+mn-lt"/>
              <a:ea typeface="+mn-lt"/>
              <a:cs typeface="+mn-lt"/>
            </a:rPr>
            <a:t>- No manual settlement deduction calculations are required.</a:t>
          </a:r>
        </a:p>
        <a:p>
          <a:pPr marL="0" indent="0" algn="l"/>
          <a:endParaRPr lang="en-US" sz="1100">
            <a:latin typeface="+mn-lt"/>
            <a:ea typeface="+mn-lt"/>
            <a:cs typeface="+mn-lt"/>
          </a:endParaRPr>
        </a:p>
        <a:p>
          <a:pPr marL="0" indent="0" algn="l"/>
          <a:r>
            <a:rPr lang="en-US" sz="1100">
              <a:latin typeface="+mn-lt"/>
              <a:ea typeface="+mn-lt"/>
              <a:cs typeface="+mn-lt"/>
            </a:rPr>
            <a:t>Operational Notes</a:t>
          </a:r>
        </a:p>
        <a:p>
          <a:pPr marL="0" indent="0" algn="l"/>
          <a:r>
            <a:rPr lang="en-US" sz="1100">
              <a:latin typeface="+mn-lt"/>
              <a:ea typeface="+mn-lt"/>
              <a:cs typeface="+mn-lt"/>
            </a:rPr>
            <a:t>- Destination specifications are maintained separately for each buyer.</a:t>
          </a:r>
        </a:p>
        <a:p>
          <a:pPr marL="0" indent="0" algn="l"/>
          <a:r>
            <a:rPr lang="en-US" sz="1100">
              <a:latin typeface="+mn-lt"/>
              <a:ea typeface="+mn-lt"/>
              <a:cs typeface="+mn-lt"/>
            </a:rPr>
            <a:t>- Settlement deductions are cumulative.</a:t>
          </a:r>
        </a:p>
        <a:p>
          <a:pPr marL="0" indent="0" algn="l"/>
          <a:r>
            <a:rPr lang="en-US" sz="1100">
              <a:latin typeface="+mn-lt"/>
              <a:ea typeface="+mn-lt"/>
              <a:cs typeface="+mn-lt"/>
            </a:rPr>
            <a:t>- Settlement deductions are expressed on a per-bushel basis.</a:t>
          </a:r>
        </a:p>
        <a:p>
          <a:pPr marL="0" indent="0" algn="l"/>
          <a:r>
            <a:rPr lang="en-US" sz="1100">
              <a:latin typeface="+mn-lt"/>
              <a:ea typeface="+mn-lt"/>
              <a:cs typeface="+mn-lt"/>
            </a:rPr>
            <a:t>- Export destinations generally maintain stricter quality requirements than domestic feed, milling, ethanol, or processing facilities.</a:t>
          </a:r>
        </a:p>
        <a:p>
          <a:pPr marL="0" indent="0" algn="l"/>
          <a:r>
            <a:rPr lang="en-US" sz="1100">
              <a:latin typeface="+mn-lt"/>
              <a:ea typeface="+mn-lt"/>
              <a:cs typeface="+mn-lt"/>
            </a:rPr>
            <a:t>- The Outbound Scale Tickets tab references this information automatically when calculating destination settlement deductions.</a:t>
          </a:r>
        </a:p>
        <a:p>
          <a:pPr marL="0" indent="0" algn="l"/>
          <a:r>
            <a:rPr lang="en-US" sz="1100">
              <a:latin typeface="+mn-lt"/>
              <a:ea typeface="+mn-lt"/>
              <a:cs typeface="+mn-lt"/>
            </a:rPr>
            <a:t>- Changes made within the Destination Specs tab will automatically impact future shipment settlements throughout the workbook.</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Business Purpose</a:t>
          </a:r>
        </a:p>
        <a:p>
          <a:pPr marL="0" indent="0" algn="l"/>
          <a:r>
            <a:rPr lang="en-US" sz="1100">
              <a:latin typeface="+mn-lt"/>
              <a:ea typeface="+mn-lt"/>
              <a:cs typeface="+mn-lt"/>
            </a:rPr>
            <a:t>The destination specification schedules simulate grain settlement practices used by processors, feed mills, ethanol plants, and export facilities. By assigning destination-specific quality deductions, the workbook reflects the financial impact of quality differences between grain received and grain delivered.</a:t>
          </a:r>
        </a:p>
        <a:p>
          <a:pPr marL="0" indent="0" algn="l"/>
          <a:endParaRPr lang="en-US" sz="1100">
            <a:latin typeface="+mn-lt"/>
            <a:ea typeface="+mn-lt"/>
            <a:cs typeface="+mn-lt"/>
          </a:endParaRPr>
        </a:p>
      </xdr:txBody>
    </xdr:sp>
    <xdr:clientData/>
  </xdr:twoCellAnchor>
  <xdr:twoCellAnchor>
    <xdr:from>
      <xdr:col>0</xdr:col>
      <xdr:colOff>0</xdr:colOff>
      <xdr:row>183</xdr:row>
      <xdr:rowOff>0</xdr:rowOff>
    </xdr:from>
    <xdr:to>
      <xdr:col>11</xdr:col>
      <xdr:colOff>571500</xdr:colOff>
      <xdr:row>235</xdr:row>
      <xdr:rowOff>95250</xdr:rowOff>
    </xdr:to>
    <xdr:sp macro="" textlink="">
      <xdr:nvSpPr>
        <xdr:cNvPr id="9" name="TextBox 8">
          <a:extLst>
            <a:ext uri="{FF2B5EF4-FFF2-40B4-BE49-F238E27FC236}">
              <a16:creationId xmlns:a16="http://schemas.microsoft.com/office/drawing/2014/main" id="{3D4BBDD5-ECD3-D9E4-F968-14F7171A395A}"/>
            </a:ext>
            <a:ext uri="{147F2762-F138-4A5C-976F-8EAC2B608ADB}">
              <a16:predDERef xmlns:a16="http://schemas.microsoft.com/office/drawing/2014/main" pred="{21166276-CC16-35AA-AC78-99FB64827E91}"/>
            </a:ext>
          </a:extLst>
        </xdr:cNvPr>
        <xdr:cNvSpPr txBox="1"/>
      </xdr:nvSpPr>
      <xdr:spPr>
        <a:xfrm>
          <a:off x="0" y="35356800"/>
          <a:ext cx="7277100" cy="10001250"/>
        </a:xfrm>
        <a:prstGeom prst="rect">
          <a:avLst/>
        </a:prstGeom>
        <a:solidFill>
          <a:schemeClr val="accent6">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u="sng">
              <a:latin typeface="+mn-lt"/>
              <a:ea typeface="+mn-lt"/>
              <a:cs typeface="+mn-lt"/>
            </a:rPr>
            <a:t>Purpose</a:t>
          </a:r>
          <a:endParaRPr lang="en-US" sz="1100">
            <a:latin typeface="+mn-lt"/>
            <a:ea typeface="+mn-lt"/>
            <a:cs typeface="+mn-lt"/>
          </a:endParaRPr>
        </a:p>
        <a:p>
          <a:pPr marL="0" indent="0" algn="l"/>
          <a:r>
            <a:rPr lang="en-US" sz="1100">
              <a:latin typeface="+mn-lt"/>
              <a:ea typeface="+mn-lt"/>
              <a:cs typeface="+mn-lt"/>
            </a:rPr>
            <a:t>The Position tab serves as the commercial position management center of the workbook. It consolidates contract activity, shipment activity, and hedge information into a single reporting view that allows users to monitor open sales obligations, destination exposure, and futures hedge coverage.</a:t>
          </a:r>
        </a:p>
        <a:p>
          <a:pPr marL="0" indent="0" algn="l"/>
          <a:r>
            <a:rPr lang="en-US" sz="1100">
              <a:latin typeface="+mn-lt"/>
              <a:ea typeface="+mn-lt"/>
              <a:cs typeface="+mn-lt"/>
            </a:rPr>
            <a:t>The tab provides real-time visibility into commercial risk and supports merchandising, logistics, and risk management decisions.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Automated Calculations</a:t>
          </a:r>
          <a:endParaRPr lang="en-US" sz="1100" b="1" u="none">
            <a:latin typeface="+mn-lt"/>
            <a:ea typeface="+mn-lt"/>
            <a:cs typeface="+mn-lt"/>
          </a:endParaRPr>
        </a:p>
        <a:p>
          <a:pPr marL="0" indent="0" algn="l"/>
          <a:r>
            <a:rPr lang="en-US" sz="1100" b="1" u="none">
              <a:latin typeface="+mn-lt"/>
              <a:ea typeface="+mn-lt"/>
              <a:cs typeface="+mn-lt"/>
            </a:rPr>
            <a:t>- </a:t>
          </a:r>
          <a:r>
            <a:rPr lang="en-US" sz="1100">
              <a:latin typeface="+mn-lt"/>
              <a:ea typeface="+mn-lt"/>
              <a:cs typeface="+mn-lt"/>
            </a:rPr>
            <a:t>Open Sales Position by Location</a:t>
          </a:r>
        </a:p>
        <a:p>
          <a:pPr marL="0" indent="0" algn="l"/>
          <a:r>
            <a:rPr lang="en-US" sz="1100">
              <a:latin typeface="+mn-lt"/>
              <a:ea typeface="+mn-lt"/>
              <a:cs typeface="+mn-lt"/>
            </a:rPr>
            <a:t>For each commodity and destination, the system calculates:</a:t>
          </a:r>
        </a:p>
        <a:p>
          <a:pPr marL="0" indent="0" algn="l"/>
          <a:r>
            <a:rPr lang="en-US" sz="1100">
              <a:latin typeface="+mn-lt"/>
              <a:ea typeface="+mn-lt"/>
              <a:cs typeface="+mn-lt"/>
            </a:rPr>
            <a:t>* Contracted Bushels</a:t>
          </a:r>
        </a:p>
        <a:p>
          <a:pPr marL="0" indent="0" algn="l"/>
          <a:r>
            <a:rPr lang="en-US" sz="1100">
              <a:latin typeface="+mn-lt"/>
              <a:ea typeface="+mn-lt"/>
              <a:cs typeface="+mn-lt"/>
            </a:rPr>
            <a:t>* Delivered Bushels</a:t>
          </a:r>
        </a:p>
        <a:p>
          <a:pPr marL="0" indent="0" algn="l"/>
          <a:r>
            <a:rPr lang="en-US" sz="1100">
              <a:latin typeface="+mn-lt"/>
              <a:ea typeface="+mn-lt"/>
              <a:cs typeface="+mn-lt"/>
            </a:rPr>
            <a:t>* Remaining Bushels</a:t>
          </a:r>
          <a:endParaRPr lang="en-US" sz="1100" i="1">
            <a:latin typeface="+mn-lt"/>
            <a:ea typeface="+mn-lt"/>
            <a:cs typeface="+mn-lt"/>
          </a:endParaRPr>
        </a:p>
        <a:p>
          <a:pPr marL="0" indent="0" algn="l"/>
          <a:r>
            <a:rPr lang="en-US" sz="1100" i="1">
              <a:latin typeface="+mn-lt"/>
              <a:ea typeface="+mn-lt"/>
              <a:cs typeface="+mn-lt"/>
            </a:rPr>
            <a:t>Formula: Remaining Bushels = Contracted Bushels − Delivered Bushels</a:t>
          </a:r>
          <a:endParaRPr lang="en-US" sz="1100">
            <a:latin typeface="+mn-lt"/>
            <a:ea typeface="+mn-lt"/>
            <a:cs typeface="+mn-lt"/>
          </a:endParaRPr>
        </a:p>
        <a:p>
          <a:pPr marL="0" indent="0" algn="l"/>
          <a:r>
            <a:rPr lang="en-US" sz="1100">
              <a:latin typeface="+mn-lt"/>
              <a:ea typeface="+mn-lt"/>
              <a:cs typeface="+mn-lt"/>
            </a:rPr>
            <a:t>This provides visibility into outstanding shipment obligations by destination.</a:t>
          </a:r>
        </a:p>
        <a:p>
          <a:pPr marL="0" indent="0" algn="l"/>
          <a:endParaRPr lang="en-US" sz="1100">
            <a:latin typeface="+mn-lt"/>
            <a:ea typeface="+mn-lt"/>
            <a:cs typeface="+mn-lt"/>
          </a:endParaRPr>
        </a:p>
        <a:p>
          <a:pPr marL="0" indent="0" algn="l"/>
          <a:r>
            <a:rPr lang="en-US" sz="1100">
              <a:latin typeface="+mn-lt"/>
              <a:ea typeface="+mn-lt"/>
              <a:cs typeface="+mn-lt"/>
            </a:rPr>
            <a:t>- Futures Hedge Position</a:t>
          </a:r>
        </a:p>
        <a:p>
          <a:pPr marL="0" indent="0" algn="l"/>
          <a:r>
            <a:rPr lang="en-US" sz="1100">
              <a:latin typeface="+mn-lt"/>
              <a:ea typeface="+mn-lt"/>
              <a:cs typeface="+mn-lt"/>
            </a:rPr>
            <a:t>The Futures Hedge Position table is populated automatically.</a:t>
          </a:r>
        </a:p>
        <a:p>
          <a:pPr marL="0" indent="0" algn="l"/>
          <a:r>
            <a:rPr lang="en-US" sz="1100">
              <a:latin typeface="+mn-lt"/>
              <a:ea typeface="+mn-lt"/>
              <a:cs typeface="+mn-lt"/>
            </a:rPr>
            <a:t>For each futures code, the system calculates:</a:t>
          </a:r>
        </a:p>
        <a:p>
          <a:pPr marL="0" indent="0" algn="l"/>
          <a:r>
            <a:rPr lang="en-US" sz="1100">
              <a:latin typeface="+mn-lt"/>
              <a:ea typeface="+mn-lt"/>
              <a:cs typeface="+mn-lt"/>
            </a:rPr>
            <a:t>* Open Bushels</a:t>
          </a:r>
        </a:p>
        <a:p>
          <a:pPr marL="0" indent="0" algn="l"/>
          <a:r>
            <a:rPr lang="en-US" sz="1100">
              <a:latin typeface="+mn-lt"/>
              <a:ea typeface="+mn-lt"/>
              <a:cs typeface="+mn-lt"/>
            </a:rPr>
            <a:t>* Futures Hedged</a:t>
          </a:r>
        </a:p>
        <a:p>
          <a:pPr marL="0" indent="0" algn="l"/>
          <a:r>
            <a:rPr lang="en-US" sz="1100">
              <a:latin typeface="+mn-lt"/>
              <a:ea typeface="+mn-lt"/>
              <a:cs typeface="+mn-lt"/>
            </a:rPr>
            <a:t>* Net Position</a:t>
          </a:r>
          <a:endParaRPr lang="en-US" sz="1100" i="1">
            <a:latin typeface="+mn-lt"/>
            <a:ea typeface="+mn-lt"/>
            <a:cs typeface="+mn-lt"/>
          </a:endParaRPr>
        </a:p>
        <a:p>
          <a:pPr marL="0" indent="0" algn="l"/>
          <a:r>
            <a:rPr lang="en-US" sz="1100" i="1">
              <a:latin typeface="+mn-lt"/>
              <a:ea typeface="+mn-lt"/>
              <a:cs typeface="+mn-lt"/>
            </a:rPr>
            <a:t>Formula: Net Position = Open Bushels − Futures Hedged</a:t>
          </a:r>
          <a:endParaRPr lang="en-US" sz="1100">
            <a:latin typeface="+mn-lt"/>
            <a:ea typeface="+mn-lt"/>
            <a:cs typeface="+mn-lt"/>
          </a:endParaRPr>
        </a:p>
        <a:p>
          <a:pPr marL="0" indent="0" algn="l"/>
          <a:r>
            <a:rPr lang="en-US" sz="1100">
              <a:latin typeface="+mn-lt"/>
              <a:ea typeface="+mn-lt"/>
              <a:cs typeface="+mn-lt"/>
            </a:rPr>
            <a:t>This allows users to monitor hedge coverage and identify under-hedged or over-hedged positions.</a:t>
          </a:r>
        </a:p>
        <a:p>
          <a:pPr marL="0" indent="0" algn="l"/>
          <a:endParaRPr lang="en-US" sz="1100">
            <a:latin typeface="+mn-lt"/>
            <a:ea typeface="+mn-lt"/>
            <a:cs typeface="+mn-lt"/>
          </a:endParaRPr>
        </a:p>
        <a:p>
          <a:pPr marL="0" indent="0" algn="l"/>
          <a:r>
            <a:rPr lang="en-US" sz="1100">
              <a:latin typeface="+mn-lt"/>
              <a:ea typeface="+mn-lt"/>
              <a:cs typeface="+mn-lt"/>
            </a:rPr>
            <a:t>- Positioning Alert</a:t>
          </a:r>
        </a:p>
        <a:p>
          <a:pPr marL="0" indent="0" algn="l"/>
          <a:r>
            <a:rPr lang="en-US" sz="1100">
              <a:latin typeface="+mn-lt"/>
              <a:ea typeface="+mn-lt"/>
              <a:cs typeface="+mn-lt"/>
            </a:rPr>
            <a:t>The Positioning Alert field is generated automatically.</a:t>
          </a:r>
        </a:p>
        <a:p>
          <a:pPr marL="0" indent="0" algn="l"/>
          <a:r>
            <a:rPr lang="en-US" sz="1100">
              <a:latin typeface="+mn-lt"/>
              <a:ea typeface="+mn-lt"/>
              <a:cs typeface="+mn-lt"/>
            </a:rPr>
            <a:t>The alert evaluates open sales exposure by destination and identifies locations with elevated concentration risk.</a:t>
          </a:r>
          <a:endParaRPr lang="en-US" sz="1100" i="1">
            <a:latin typeface="+mn-lt"/>
            <a:ea typeface="+mn-lt"/>
            <a:cs typeface="+mn-lt"/>
          </a:endParaRPr>
        </a:p>
        <a:p>
          <a:pPr marL="0" indent="0" algn="l"/>
          <a:r>
            <a:rPr lang="en-US" sz="1100" i="1">
              <a:latin typeface="+mn-lt"/>
              <a:ea typeface="+mn-lt"/>
              <a:cs typeface="+mn-lt"/>
            </a:rPr>
            <a:t>Current Logic: If the largest remaining destination position exceeds the established threshold, the alert displays HIGH DESTINATION EXPOSURE. Otherwise, the alert displays NORMAL.</a:t>
          </a:r>
          <a:endParaRPr lang="en-US" sz="1100">
            <a:latin typeface="+mn-lt"/>
            <a:ea typeface="+mn-lt"/>
            <a:cs typeface="+mn-lt"/>
          </a:endParaRPr>
        </a:p>
        <a:p>
          <a:pPr marL="0" indent="0" algn="l"/>
          <a:r>
            <a:rPr lang="en-US" sz="1100">
              <a:latin typeface="+mn-lt"/>
              <a:ea typeface="+mn-lt"/>
              <a:cs typeface="+mn-lt"/>
            </a:rPr>
            <a:t>This provides a quick visual indicator of potential concentration risk.</a:t>
          </a:r>
        </a:p>
        <a:p>
          <a:pPr marL="0" indent="0" algn="l"/>
          <a:endParaRPr lang="en-US" sz="1100">
            <a:latin typeface="+mn-lt"/>
            <a:ea typeface="+mn-lt"/>
            <a:cs typeface="+mn-lt"/>
          </a:endParaRPr>
        </a:p>
        <a:p>
          <a:pPr marL="0" indent="0" algn="l"/>
          <a:r>
            <a:rPr lang="en-US" sz="1100">
              <a:latin typeface="+mn-lt"/>
              <a:ea typeface="+mn-lt"/>
              <a:cs typeface="+mn-lt"/>
            </a:rPr>
            <a:t>- Sales Position Summary</a:t>
          </a:r>
        </a:p>
        <a:p>
          <a:pPr marL="0" indent="0" algn="l"/>
          <a:r>
            <a:rPr lang="en-US" sz="1100">
              <a:latin typeface="+mn-lt"/>
              <a:ea typeface="+mn-lt"/>
              <a:cs typeface="+mn-lt"/>
            </a:rPr>
            <a:t>The Sales Position Summary section updates automatically and includes:</a:t>
          </a:r>
        </a:p>
        <a:p>
          <a:pPr marL="0" indent="0" algn="l"/>
          <a:r>
            <a:rPr lang="en-US" sz="1100">
              <a:latin typeface="+mn-lt"/>
              <a:ea typeface="+mn-lt"/>
              <a:cs typeface="+mn-lt"/>
            </a:rPr>
            <a:t>* Total Open Sales Bushels</a:t>
          </a:r>
        </a:p>
        <a:p>
          <a:pPr marL="0" indent="0" algn="l"/>
          <a:r>
            <a:rPr lang="en-US" sz="1100">
              <a:latin typeface="+mn-lt"/>
              <a:ea typeface="+mn-lt"/>
              <a:cs typeface="+mn-lt"/>
            </a:rPr>
            <a:t>* Largest Destination Exposure</a:t>
          </a:r>
        </a:p>
        <a:p>
          <a:pPr marL="0" indent="0" algn="l"/>
          <a:r>
            <a:rPr lang="en-US" sz="1100">
              <a:latin typeface="+mn-lt"/>
              <a:ea typeface="+mn-lt"/>
              <a:cs typeface="+mn-lt"/>
            </a:rPr>
            <a:t>* Open Corn Sales</a:t>
          </a:r>
        </a:p>
        <a:p>
          <a:pPr marL="0" indent="0" algn="l"/>
          <a:r>
            <a:rPr lang="en-US" sz="1100">
              <a:latin typeface="+mn-lt"/>
              <a:ea typeface="+mn-lt"/>
              <a:cs typeface="+mn-lt"/>
            </a:rPr>
            <a:t>* Open Soybean Sales</a:t>
          </a:r>
        </a:p>
        <a:p>
          <a:pPr marL="0" indent="0" algn="l"/>
          <a:r>
            <a:rPr lang="en-US" sz="1100">
              <a:latin typeface="+mn-lt"/>
              <a:ea typeface="+mn-lt"/>
              <a:cs typeface="+mn-lt"/>
            </a:rPr>
            <a:t>These metrics provide a high-level overview of commercial exposure and outstanding shipment obligations.</a:t>
          </a:r>
        </a:p>
        <a:p>
          <a:pPr marL="0" indent="0" algn="l"/>
          <a:endParaRPr lang="en-US" sz="1100" b="1" u="sng">
            <a:latin typeface="+mn-lt"/>
            <a:ea typeface="+mn-lt"/>
            <a:cs typeface="+mn-lt"/>
          </a:endParaRPr>
        </a:p>
        <a:p>
          <a:pPr marL="0" indent="0" algn="l"/>
          <a:r>
            <a:rPr lang="en-US" sz="1100" b="1" u="sng">
              <a:latin typeface="+mn-lt"/>
              <a:ea typeface="+mn-lt"/>
              <a:cs typeface="+mn-lt"/>
            </a:rPr>
            <a:t>Data Integration</a:t>
          </a:r>
        </a:p>
        <a:p>
          <a:pPr marL="0" indent="0" algn="l"/>
          <a:r>
            <a:rPr lang="en-US" sz="1100">
              <a:latin typeface="+mn-lt"/>
              <a:ea typeface="+mn-lt"/>
              <a:cs typeface="+mn-lt"/>
            </a:rPr>
            <a:t>The Position tab receives information from:</a:t>
          </a:r>
        </a:p>
        <a:p>
          <a:pPr marL="0" indent="0" algn="l"/>
          <a:r>
            <a:rPr lang="en-US" sz="1100">
              <a:latin typeface="+mn-lt"/>
              <a:ea typeface="+mn-lt"/>
              <a:cs typeface="+mn-lt"/>
            </a:rPr>
            <a:t>* Sale Contracts</a:t>
          </a:r>
        </a:p>
        <a:p>
          <a:pPr marL="0" indent="0" algn="l"/>
          <a:r>
            <a:rPr lang="en-US" sz="1100">
              <a:latin typeface="+mn-lt"/>
              <a:ea typeface="+mn-lt"/>
              <a:cs typeface="+mn-lt"/>
            </a:rPr>
            <a:t>* Outbound Scale Tickets</a:t>
          </a:r>
        </a:p>
        <a:p>
          <a:pPr marL="0" indent="0" algn="l"/>
          <a:r>
            <a:rPr lang="en-US" sz="1100">
              <a:latin typeface="+mn-lt"/>
              <a:ea typeface="+mn-lt"/>
              <a:cs typeface="+mn-lt"/>
            </a:rPr>
            <a:t>The tab consolidates contract commitments, shipment activity, and hedge information into a single commercial reporting view.</a:t>
          </a:r>
        </a:p>
        <a:p>
          <a:pPr marL="0" indent="0" algn="l"/>
          <a:endParaRPr lang="en-US" sz="1100" b="1" u="sng">
            <a:latin typeface="+mn-lt"/>
            <a:ea typeface="+mn-lt"/>
            <a:cs typeface="+mn-lt"/>
          </a:endParaRPr>
        </a:p>
        <a:p>
          <a:pPr marL="0" indent="0" algn="l"/>
          <a:r>
            <a:rPr lang="en-US" sz="1100" b="1" u="sng">
              <a:latin typeface="+mn-lt"/>
              <a:ea typeface="+mn-lt"/>
              <a:cs typeface="+mn-lt"/>
            </a:rPr>
            <a:t>Operational Benefits</a:t>
          </a:r>
          <a:endParaRPr lang="en-US" sz="1100">
            <a:latin typeface="+mn-lt"/>
            <a:ea typeface="+mn-lt"/>
            <a:cs typeface="+mn-lt"/>
          </a:endParaRPr>
        </a:p>
        <a:p>
          <a:pPr marL="0" indent="0" algn="l"/>
          <a:r>
            <a:rPr lang="en-US" sz="1100">
              <a:latin typeface="+mn-lt"/>
              <a:ea typeface="+mn-lt"/>
              <a:cs typeface="+mn-lt"/>
            </a:rPr>
            <a:t>- Centralized Position Visibility</a:t>
          </a:r>
        </a:p>
        <a:p>
          <a:pPr marL="0" indent="0" algn="l"/>
          <a:r>
            <a:rPr lang="en-US" sz="1100">
              <a:latin typeface="+mn-lt"/>
              <a:ea typeface="+mn-lt"/>
              <a:cs typeface="+mn-lt"/>
            </a:rPr>
            <a:t>Open sales commitments, shipment activity, and hedge coverage are consolidated within a single reporting location.</a:t>
          </a:r>
        </a:p>
        <a:p>
          <a:pPr marL="0" indent="0" algn="l"/>
          <a:r>
            <a:rPr lang="en-US" sz="1100">
              <a:latin typeface="+mn-lt"/>
              <a:ea typeface="+mn-lt"/>
              <a:cs typeface="+mn-lt"/>
            </a:rPr>
            <a:t>- Exposure Monitoring</a:t>
          </a:r>
        </a:p>
        <a:p>
          <a:pPr marL="0" indent="0" algn="l"/>
          <a:r>
            <a:rPr lang="en-US" sz="1100">
              <a:latin typeface="+mn-lt"/>
              <a:ea typeface="+mn-lt"/>
              <a:cs typeface="+mn-lt"/>
            </a:rPr>
            <a:t>Destination-level exposure can be monitored to identify concentration risk and outstanding shipment obligations.</a:t>
          </a:r>
        </a:p>
        <a:p>
          <a:pPr marL="0" indent="0" algn="l"/>
          <a:r>
            <a:rPr lang="en-US" sz="1100">
              <a:latin typeface="+mn-lt"/>
              <a:ea typeface="+mn-lt"/>
              <a:cs typeface="+mn-lt"/>
            </a:rPr>
            <a:t>- Hedge Position Monitoring</a:t>
          </a:r>
        </a:p>
        <a:p>
          <a:pPr marL="0" indent="0" algn="l"/>
          <a:r>
            <a:rPr lang="en-US" sz="1100">
              <a:latin typeface="+mn-lt"/>
              <a:ea typeface="+mn-lt"/>
              <a:cs typeface="+mn-lt"/>
            </a:rPr>
            <a:t>Open bushels and hedge coverage are compared automatically to provide visibility into futures exposure by delivery month.</a:t>
          </a:r>
        </a:p>
        <a:p>
          <a:pPr marL="0" indent="0" algn="l"/>
          <a:r>
            <a:rPr lang="en-US" sz="1100">
              <a:latin typeface="+mn-lt"/>
              <a:ea typeface="+mn-lt"/>
              <a:cs typeface="+mn-lt"/>
            </a:rPr>
            <a:t>- Commercial Decision Support</a:t>
          </a:r>
        </a:p>
        <a:p>
          <a:pPr marL="0" indent="0" algn="l"/>
          <a:r>
            <a:rPr lang="en-US" sz="1100">
              <a:latin typeface="+mn-lt"/>
              <a:ea typeface="+mn-lt"/>
              <a:cs typeface="+mn-lt"/>
            </a:rPr>
            <a:t>The Position tab provides key metrics used to support merchandising, logistics, transportation planning, and risk management decisions.</a:t>
          </a:r>
        </a:p>
        <a:p>
          <a:pPr marL="0" indent="0" algn="l"/>
          <a:endParaRPr lang="en-US" sz="1100">
            <a:latin typeface="+mn-lt"/>
            <a:ea typeface="+mn-lt"/>
            <a:cs typeface="+mn-lt"/>
          </a:endParaRPr>
        </a:p>
      </xdr:txBody>
    </xdr:sp>
    <xdr:clientData/>
  </xdr:twoCellAnchor>
  <xdr:twoCellAnchor>
    <xdr:from>
      <xdr:col>11</xdr:col>
      <xdr:colOff>600075</xdr:colOff>
      <xdr:row>193</xdr:row>
      <xdr:rowOff>0</xdr:rowOff>
    </xdr:from>
    <xdr:to>
      <xdr:col>23</xdr:col>
      <xdr:colOff>590550</xdr:colOff>
      <xdr:row>239</xdr:row>
      <xdr:rowOff>180975</xdr:rowOff>
    </xdr:to>
    <xdr:sp macro="" textlink="">
      <xdr:nvSpPr>
        <xdr:cNvPr id="10" name="TextBox 9">
          <a:extLst>
            <a:ext uri="{FF2B5EF4-FFF2-40B4-BE49-F238E27FC236}">
              <a16:creationId xmlns:a16="http://schemas.microsoft.com/office/drawing/2014/main" id="{5E1BA12B-DEFA-3681-C9DF-0DAAAA315C5F}"/>
            </a:ext>
            <a:ext uri="{147F2762-F138-4A5C-976F-8EAC2B608ADB}">
              <a16:predDERef xmlns:a16="http://schemas.microsoft.com/office/drawing/2014/main" pred="{3D4BBDD5-ECD3-D9E4-F968-14F7171A395A}"/>
            </a:ext>
          </a:extLst>
        </xdr:cNvPr>
        <xdr:cNvSpPr txBox="1"/>
      </xdr:nvSpPr>
      <xdr:spPr>
        <a:xfrm>
          <a:off x="7305675" y="37261800"/>
          <a:ext cx="7305675" cy="8943975"/>
        </a:xfrm>
        <a:prstGeom prst="rect">
          <a:avLst/>
        </a:prstGeom>
        <a:solidFill>
          <a:schemeClr val="accent4">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u="sng">
              <a:latin typeface="+mn-lt"/>
              <a:ea typeface="+mn-lt"/>
              <a:cs typeface="+mn-lt"/>
            </a:rPr>
            <a:t>Purpose</a:t>
          </a:r>
          <a:endParaRPr lang="en-US" sz="1100">
            <a:latin typeface="+mn-lt"/>
            <a:ea typeface="+mn-lt"/>
            <a:cs typeface="+mn-lt"/>
          </a:endParaRPr>
        </a:p>
        <a:p>
          <a:pPr marL="0" indent="0" algn="l"/>
          <a:r>
            <a:rPr lang="en-US" sz="1100">
              <a:latin typeface="+mn-lt"/>
              <a:ea typeface="+mn-lt"/>
              <a:cs typeface="+mn-lt"/>
            </a:rPr>
            <a:t>The Dashboard tab serves as the executive summary view of the workbook. It consolidates key commercial metrics, hedge information, and open position data into a single reporting interface that allows users to quickly assess operational performance and commercial exposure.</a:t>
          </a:r>
        </a:p>
        <a:p>
          <a:pPr marL="0" indent="0" algn="l"/>
          <a:r>
            <a:rPr lang="en-US" sz="1100">
              <a:latin typeface="+mn-lt"/>
              <a:ea typeface="+mn-lt"/>
              <a:cs typeface="+mn-lt"/>
            </a:rPr>
            <a:t>The dashboard is designed to provide high-level visibility into open grain positions, hedge coverage, and delivery obligations without requiring navigation through multiple workbook tabs.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Automated Calculations</a:t>
          </a:r>
          <a:endParaRPr lang="en-US" sz="1100">
            <a:latin typeface="+mn-lt"/>
            <a:ea typeface="+mn-lt"/>
            <a:cs typeface="+mn-lt"/>
          </a:endParaRPr>
        </a:p>
        <a:p>
          <a:pPr marL="0" indent="0" algn="l"/>
          <a:r>
            <a:rPr lang="en-US" sz="1100">
              <a:latin typeface="+mn-lt"/>
              <a:ea typeface="+mn-lt"/>
              <a:cs typeface="+mn-lt"/>
            </a:rPr>
            <a:t>- Total Open Bushels</a:t>
          </a:r>
        </a:p>
        <a:p>
          <a:pPr marL="0" indent="0" algn="l"/>
          <a:r>
            <a:rPr lang="en-US" sz="1100">
              <a:latin typeface="+mn-lt"/>
              <a:ea typeface="+mn-lt"/>
              <a:cs typeface="+mn-lt"/>
            </a:rPr>
            <a:t>This metric represents the total outstanding bushels associated with open commercial positions and provides a quick measure of overall exposure.</a:t>
          </a:r>
        </a:p>
        <a:p>
          <a:pPr marL="0" indent="0" algn="l"/>
          <a:endParaRPr lang="en-US" sz="1100">
            <a:latin typeface="+mn-lt"/>
            <a:ea typeface="+mn-lt"/>
            <a:cs typeface="+mn-lt"/>
          </a:endParaRPr>
        </a:p>
        <a:p>
          <a:pPr marL="0" indent="0" algn="l"/>
          <a:r>
            <a:rPr lang="en-US" sz="1100">
              <a:latin typeface="+mn-lt"/>
              <a:ea typeface="+mn-lt"/>
              <a:cs typeface="+mn-lt"/>
            </a:rPr>
            <a:t>- Net Position</a:t>
          </a:r>
          <a:endParaRPr lang="en-US" sz="1100" i="1">
            <a:latin typeface="+mn-lt"/>
            <a:ea typeface="+mn-lt"/>
            <a:cs typeface="+mn-lt"/>
          </a:endParaRPr>
        </a:p>
        <a:p>
          <a:pPr marL="0" indent="0" algn="l"/>
          <a:r>
            <a:rPr lang="en-US" sz="1100" i="1">
              <a:latin typeface="+mn-lt"/>
              <a:ea typeface="+mn-lt"/>
              <a:cs typeface="+mn-lt"/>
            </a:rPr>
            <a:t>Formula: Net Position = Total Open Bushels − Futures Hedged Bushels</a:t>
          </a:r>
          <a:endParaRPr lang="en-US" sz="1100">
            <a:latin typeface="+mn-lt"/>
            <a:ea typeface="+mn-lt"/>
            <a:cs typeface="+mn-lt"/>
          </a:endParaRPr>
        </a:p>
        <a:p>
          <a:pPr marL="0" indent="0" algn="l"/>
          <a:r>
            <a:rPr lang="en-US" sz="1100">
              <a:latin typeface="+mn-lt"/>
              <a:ea typeface="+mn-lt"/>
              <a:cs typeface="+mn-lt"/>
            </a:rPr>
            <a:t>This metric provides visibility into overall hedge coverage and remaining market exposure.</a:t>
          </a:r>
        </a:p>
        <a:p>
          <a:pPr marL="0" indent="0" algn="l"/>
          <a:endParaRPr lang="en-US" sz="1100">
            <a:latin typeface="+mn-lt"/>
            <a:ea typeface="+mn-lt"/>
            <a:cs typeface="+mn-lt"/>
          </a:endParaRPr>
        </a:p>
        <a:p>
          <a:pPr marL="0" indent="0" algn="l"/>
          <a:r>
            <a:rPr lang="en-US" sz="1100">
              <a:latin typeface="+mn-lt"/>
              <a:ea typeface="+mn-lt"/>
              <a:cs typeface="+mn-lt"/>
            </a:rPr>
            <a:t>- Hedge Coverage</a:t>
          </a:r>
          <a:endParaRPr lang="en-US" sz="1100" i="1">
            <a:latin typeface="+mn-lt"/>
            <a:ea typeface="+mn-lt"/>
            <a:cs typeface="+mn-lt"/>
          </a:endParaRPr>
        </a:p>
        <a:p>
          <a:pPr marL="0" indent="0" algn="l"/>
          <a:r>
            <a:rPr lang="en-US" sz="1100" i="1">
              <a:latin typeface="+mn-lt"/>
              <a:ea typeface="+mn-lt"/>
              <a:cs typeface="+mn-lt"/>
            </a:rPr>
            <a:t>Formula: Futures Hedged Bushels ÷ Total Open Bushels</a:t>
          </a:r>
          <a:endParaRPr lang="en-US" sz="1100">
            <a:latin typeface="+mn-lt"/>
            <a:ea typeface="+mn-lt"/>
            <a:cs typeface="+mn-lt"/>
          </a:endParaRPr>
        </a:p>
        <a:p>
          <a:pPr marL="0" indent="0" algn="l"/>
          <a:r>
            <a:rPr lang="en-US" sz="1100">
              <a:latin typeface="+mn-lt"/>
              <a:ea typeface="+mn-lt"/>
              <a:cs typeface="+mn-lt"/>
            </a:rPr>
            <a:t>This metric measures the percentage of open bushels currently covered by futures hedges.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Visual Reporting</a:t>
          </a:r>
          <a:endParaRPr lang="en-US" sz="1100">
            <a:latin typeface="+mn-lt"/>
            <a:ea typeface="+mn-lt"/>
            <a:cs typeface="+mn-lt"/>
          </a:endParaRPr>
        </a:p>
        <a:p>
          <a:pPr marL="0" indent="0" algn="l"/>
          <a:r>
            <a:rPr lang="en-US" sz="1100">
              <a:latin typeface="+mn-lt"/>
              <a:ea typeface="+mn-lt"/>
              <a:cs typeface="+mn-lt"/>
            </a:rPr>
            <a:t>- Futures Coverage by Contract Month</a:t>
          </a:r>
        </a:p>
        <a:p>
          <a:pPr marL="0" indent="0" algn="l"/>
          <a:r>
            <a:rPr lang="en-US" sz="1100">
              <a:latin typeface="+mn-lt"/>
              <a:ea typeface="+mn-lt"/>
              <a:cs typeface="+mn-lt"/>
            </a:rPr>
            <a:t>The chart compares:</a:t>
          </a:r>
        </a:p>
        <a:p>
          <a:pPr marL="0" indent="0" algn="l"/>
          <a:r>
            <a:rPr lang="en-US" sz="1100">
              <a:latin typeface="+mn-lt"/>
              <a:ea typeface="+mn-lt"/>
              <a:cs typeface="+mn-lt"/>
            </a:rPr>
            <a:t>* Open Bushels</a:t>
          </a:r>
        </a:p>
        <a:p>
          <a:pPr marL="0" indent="0" algn="l"/>
          <a:r>
            <a:rPr lang="en-US" sz="1100">
              <a:latin typeface="+mn-lt"/>
              <a:ea typeface="+mn-lt"/>
              <a:cs typeface="+mn-lt"/>
            </a:rPr>
            <a:t>* Futures Hedged Bushels</a:t>
          </a:r>
        </a:p>
        <a:p>
          <a:pPr marL="0" indent="0" algn="l"/>
          <a:r>
            <a:rPr lang="en-US" sz="1100">
              <a:latin typeface="+mn-lt"/>
              <a:ea typeface="+mn-lt"/>
              <a:cs typeface="+mn-lt"/>
            </a:rPr>
            <a:t>for each futures delivery month.</a:t>
          </a:r>
        </a:p>
        <a:p>
          <a:pPr marL="0" indent="0" algn="l"/>
          <a:r>
            <a:rPr lang="en-US" sz="1100">
              <a:latin typeface="+mn-lt"/>
              <a:ea typeface="+mn-lt"/>
              <a:cs typeface="+mn-lt"/>
            </a:rPr>
            <a:t>This visualization allows users to quickly identify under-hedged and over-hedged contract months.</a:t>
          </a:r>
        </a:p>
        <a:p>
          <a:pPr marL="0" indent="0" algn="l"/>
          <a:endParaRPr lang="en-US" sz="1100">
            <a:latin typeface="+mn-lt"/>
            <a:ea typeface="+mn-lt"/>
            <a:cs typeface="+mn-lt"/>
          </a:endParaRPr>
        </a:p>
        <a:p>
          <a:pPr marL="0" indent="0" algn="l"/>
          <a:r>
            <a:rPr lang="en-US" sz="1100">
              <a:latin typeface="+mn-lt"/>
              <a:ea typeface="+mn-lt"/>
              <a:cs typeface="+mn-lt"/>
            </a:rPr>
            <a:t>- Open Bushels by Delivery Location</a:t>
          </a:r>
        </a:p>
        <a:p>
          <a:pPr marL="0" indent="0" algn="l"/>
          <a:r>
            <a:rPr lang="en-US" sz="1100">
              <a:latin typeface="+mn-lt"/>
              <a:ea typeface="+mn-lt"/>
              <a:cs typeface="+mn-lt"/>
            </a:rPr>
            <a:t>This visualization highlights location-specific exposure and helps identify facilities with the largest outstanding grain commitments.</a:t>
          </a:r>
          <a:endParaRPr lang="en-US" sz="1100" b="1" u="sng">
            <a:latin typeface="+mn-lt"/>
            <a:ea typeface="+mn-lt"/>
            <a:cs typeface="+mn-lt"/>
          </a:endParaRPr>
        </a:p>
        <a:p>
          <a:pPr marL="0" indent="0" algn="l"/>
          <a:endParaRPr lang="en-US" sz="1100" b="1" u="sng">
            <a:latin typeface="+mn-lt"/>
            <a:ea typeface="+mn-lt"/>
            <a:cs typeface="+mn-lt"/>
          </a:endParaRPr>
        </a:p>
        <a:p>
          <a:pPr marL="0" indent="0" algn="l"/>
          <a:r>
            <a:rPr lang="en-US" sz="1100" b="1" u="sng">
              <a:latin typeface="+mn-lt"/>
              <a:ea typeface="+mn-lt"/>
              <a:cs typeface="+mn-lt"/>
            </a:rPr>
            <a:t>Data Integration</a:t>
          </a:r>
          <a:endParaRPr lang="en-US" sz="1100">
            <a:latin typeface="+mn-lt"/>
            <a:ea typeface="+mn-lt"/>
            <a:cs typeface="+mn-lt"/>
          </a:endParaRPr>
        </a:p>
        <a:p>
          <a:pPr marL="0" indent="0" algn="l"/>
          <a:r>
            <a:rPr lang="en-US" sz="1100">
              <a:latin typeface="+mn-lt"/>
              <a:ea typeface="+mn-lt"/>
              <a:cs typeface="+mn-lt"/>
            </a:rPr>
            <a:t>The Dashboard tab receives information from:</a:t>
          </a:r>
        </a:p>
        <a:p>
          <a:pPr marL="0" indent="0" algn="l"/>
          <a:r>
            <a:rPr lang="en-US" sz="1100">
              <a:latin typeface="+mn-lt"/>
              <a:ea typeface="+mn-lt"/>
              <a:cs typeface="+mn-lt"/>
            </a:rPr>
            <a:t>* Purchase Contracts</a:t>
          </a:r>
        </a:p>
        <a:p>
          <a:pPr marL="0" indent="0" algn="l"/>
          <a:r>
            <a:rPr lang="en-US" sz="1100">
              <a:latin typeface="+mn-lt"/>
              <a:ea typeface="+mn-lt"/>
              <a:cs typeface="+mn-lt"/>
            </a:rPr>
            <a:t>* Sale Contracts</a:t>
          </a:r>
        </a:p>
        <a:p>
          <a:pPr marL="0" indent="0" algn="l"/>
          <a:r>
            <a:rPr lang="en-US" sz="1100">
              <a:latin typeface="+mn-lt"/>
              <a:ea typeface="+mn-lt"/>
              <a:cs typeface="+mn-lt"/>
            </a:rPr>
            <a:t>* Inbound Scale Tickets</a:t>
          </a:r>
        </a:p>
        <a:p>
          <a:pPr marL="0" indent="0" algn="l"/>
          <a:r>
            <a:rPr lang="en-US" sz="1100">
              <a:latin typeface="+mn-lt"/>
              <a:ea typeface="+mn-lt"/>
              <a:cs typeface="+mn-lt"/>
            </a:rPr>
            <a:t>* Outbound Scale Tickets</a:t>
          </a:r>
        </a:p>
        <a:p>
          <a:pPr marL="0" indent="0" algn="l"/>
          <a:r>
            <a:rPr lang="en-US" sz="1100">
              <a:latin typeface="+mn-lt"/>
              <a:ea typeface="+mn-lt"/>
              <a:cs typeface="+mn-lt"/>
            </a:rPr>
            <a:t>* Position</a:t>
          </a:r>
        </a:p>
        <a:p>
          <a:pPr marL="0" indent="0" algn="l"/>
          <a:endParaRPr lang="en-US" sz="1100">
            <a:latin typeface="+mn-lt"/>
            <a:ea typeface="+mn-lt"/>
            <a:cs typeface="+mn-lt"/>
          </a:endParaRPr>
        </a:p>
        <a:p>
          <a:pPr marL="0" indent="0" algn="l"/>
          <a:r>
            <a:rPr lang="en-US" sz="1100">
              <a:latin typeface="+mn-lt"/>
              <a:ea typeface="+mn-lt"/>
              <a:cs typeface="+mn-lt"/>
            </a:rPr>
            <a:t>Operational Benefits</a:t>
          </a:r>
        </a:p>
        <a:p>
          <a:pPr marL="0" indent="0" algn="l"/>
          <a:r>
            <a:rPr lang="en-US" sz="1100">
              <a:latin typeface="+mn-lt"/>
              <a:ea typeface="+mn-lt"/>
              <a:cs typeface="+mn-lt"/>
            </a:rPr>
            <a:t>- Key commercial metrics are consolidated into a single reporting interface.</a:t>
          </a:r>
        </a:p>
        <a:p>
          <a:pPr marL="0" indent="0" algn="l"/>
          <a:r>
            <a:rPr lang="en-US" sz="1100">
              <a:latin typeface="+mn-lt"/>
              <a:ea typeface="+mn-lt"/>
              <a:cs typeface="+mn-lt"/>
            </a:rPr>
            <a:t>- Users can quickly evaluate hedge coverage and identify delivery months requiring additional hedge activity.</a:t>
          </a:r>
        </a:p>
        <a:p>
          <a:pPr marL="0" indent="0" algn="l"/>
          <a:r>
            <a:rPr lang="en-US" sz="1100">
              <a:latin typeface="+mn-lt"/>
              <a:ea typeface="+mn-lt"/>
              <a:cs typeface="+mn-lt"/>
            </a:rPr>
            <a:t>- Open bushels can be monitored by delivery location to identify concentration risk and outstanding obligations.</a:t>
          </a:r>
        </a:p>
        <a:p>
          <a:pPr marL="0" indent="0" algn="l"/>
          <a:r>
            <a:rPr lang="en-US" sz="1100">
              <a:latin typeface="+mn-lt"/>
              <a:ea typeface="+mn-lt"/>
              <a:cs typeface="+mn-lt"/>
            </a:rPr>
            <a:t>- The dashboard provides a high-level summary of commercial activity and supports merchandising, logistics, and risk management decisions.</a:t>
          </a:r>
        </a:p>
        <a:p>
          <a:pPr marL="0" indent="0" algn="l"/>
          <a:endParaRPr lang="en-US" sz="1100" b="1" u="sng">
            <a:latin typeface="+mn-lt"/>
            <a:ea typeface="+mn-lt"/>
            <a:cs typeface="+mn-lt"/>
          </a:endParaRPr>
        </a:p>
        <a:p>
          <a:pPr marL="0" indent="0" algn="l"/>
          <a:r>
            <a:rPr lang="en-US" sz="1100" b="1" u="sng">
              <a:latin typeface="+mn-lt"/>
              <a:ea typeface="+mn-lt"/>
              <a:cs typeface="+mn-lt"/>
            </a:rPr>
            <a:t>Operational Notes</a:t>
          </a:r>
          <a:endParaRPr lang="en-US" sz="1100">
            <a:latin typeface="+mn-lt"/>
            <a:ea typeface="+mn-lt"/>
            <a:cs typeface="+mn-lt"/>
          </a:endParaRPr>
        </a:p>
        <a:p>
          <a:pPr marL="0" indent="0" algn="l"/>
          <a:r>
            <a:rPr lang="en-US" sz="1100">
              <a:latin typeface="+mn-lt"/>
              <a:ea typeface="+mn-lt"/>
              <a:cs typeface="+mn-lt"/>
            </a:rPr>
            <a:t>- All dashboard metrics are calculated automatically.</a:t>
          </a:r>
        </a:p>
        <a:p>
          <a:pPr marL="0" indent="0" algn="l"/>
          <a:r>
            <a:rPr lang="en-US" sz="1100">
              <a:latin typeface="+mn-lt"/>
              <a:ea typeface="+mn-lt"/>
              <a:cs typeface="+mn-lt"/>
            </a:rPr>
            <a:t>- No manual data entry is required within the Dashboard tab.</a:t>
          </a:r>
        </a:p>
        <a:p>
          <a:pPr marL="0" indent="0" algn="l"/>
          <a:r>
            <a:rPr lang="en-US" sz="1100">
              <a:latin typeface="+mn-lt"/>
              <a:ea typeface="+mn-lt"/>
              <a:cs typeface="+mn-lt"/>
            </a:rPr>
            <a:t>- Dashboard values update dynamically as contract, shipment, and position data changes throughout the workbook.</a:t>
          </a:r>
        </a:p>
        <a:p>
          <a:pPr marL="0" indent="0" algn="l"/>
          <a:endParaRPr lang="en-US" sz="1100">
            <a:latin typeface="+mn-lt"/>
            <a:ea typeface="+mn-lt"/>
            <a:cs typeface="+mn-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AA48"/>
  <sheetViews>
    <sheetView showGridLines="0" workbookViewId="0">
      <pane ySplit="1" topLeftCell="A2" activePane="bottomLeft" state="frozen"/>
      <selection pane="bottomLeft" activeCell="N23" sqref="N23"/>
    </sheetView>
  </sheetViews>
  <sheetFormatPr defaultRowHeight="15"/>
  <cols>
    <col min="1" max="1" width="24.140625" style="1" bestFit="1" customWidth="1"/>
    <col min="2" max="2" width="22.140625" style="1" bestFit="1" customWidth="1"/>
    <col min="3" max="3" width="19.42578125" style="1" customWidth="1"/>
    <col min="4" max="4" width="17.85546875" style="1" customWidth="1"/>
    <col min="5" max="5" width="13.85546875" style="1" bestFit="1" customWidth="1"/>
    <col min="6" max="6" width="16.28515625" style="1" bestFit="1" customWidth="1"/>
    <col min="7" max="7" width="11" style="1" bestFit="1" customWidth="1"/>
    <col min="8" max="8" width="14.5703125" style="1" bestFit="1" customWidth="1"/>
    <col min="9" max="9" width="10.140625" style="1" customWidth="1"/>
    <col min="10" max="10" width="10" style="1" bestFit="1" customWidth="1"/>
    <col min="11" max="11" width="12.28515625" style="1" bestFit="1" customWidth="1"/>
    <col min="12" max="12" width="14" style="1" bestFit="1" customWidth="1"/>
    <col min="13" max="13" width="9.5703125" style="1" bestFit="1" customWidth="1"/>
    <col min="14" max="14" width="9.140625" style="1"/>
    <col min="15" max="15" width="26.5703125" style="1" bestFit="1" customWidth="1"/>
    <col min="16" max="16" width="17" style="1" bestFit="1" customWidth="1"/>
    <col min="17" max="17" width="13.85546875" style="1" bestFit="1" customWidth="1"/>
    <col min="18" max="18" width="12.85546875" style="1" customWidth="1"/>
    <col min="19" max="19" width="11.28515625" style="1" customWidth="1"/>
    <col min="20" max="20" width="14.42578125" style="1" customWidth="1"/>
    <col min="21" max="16384" width="9.140625" style="1"/>
  </cols>
  <sheetData>
    <row r="1" spans="1:27" ht="18.75">
      <c r="A1" s="31" t="s">
        <v>0</v>
      </c>
      <c r="B1" s="32" t="s">
        <v>1</v>
      </c>
      <c r="C1" s="32" t="s">
        <v>2</v>
      </c>
      <c r="D1" s="32" t="s">
        <v>3</v>
      </c>
      <c r="E1" s="32" t="s">
        <v>4</v>
      </c>
      <c r="F1" s="32" t="s">
        <v>5</v>
      </c>
      <c r="G1" s="32" t="s">
        <v>6</v>
      </c>
      <c r="H1" s="32" t="s">
        <v>7</v>
      </c>
      <c r="I1" s="32" t="s">
        <v>8</v>
      </c>
      <c r="J1" s="32" t="s">
        <v>9</v>
      </c>
      <c r="K1" s="32" t="s">
        <v>10</v>
      </c>
      <c r="L1" s="32" t="s">
        <v>11</v>
      </c>
      <c r="M1" s="33" t="s">
        <v>12</v>
      </c>
      <c r="N1"/>
      <c r="O1" s="20"/>
      <c r="P1" s="21"/>
      <c r="Q1" s="21"/>
      <c r="R1" s="21"/>
      <c r="S1" s="21"/>
      <c r="T1" s="21"/>
      <c r="U1"/>
      <c r="V1"/>
      <c r="W1"/>
      <c r="X1"/>
      <c r="Y1"/>
      <c r="Z1"/>
      <c r="AA1"/>
    </row>
    <row r="2" spans="1:27" ht="18.75">
      <c r="A2" s="39" t="s">
        <v>13</v>
      </c>
      <c r="B2" s="40" t="s">
        <v>14</v>
      </c>
      <c r="C2" s="40" t="s">
        <v>15</v>
      </c>
      <c r="D2" s="40" t="s">
        <v>16</v>
      </c>
      <c r="E2" s="58" t="s">
        <v>17</v>
      </c>
      <c r="F2" s="40" t="s">
        <v>18</v>
      </c>
      <c r="G2" s="40">
        <v>4.87</v>
      </c>
      <c r="H2" s="41">
        <f>IF($C2="Corn",_xlfn.XLOOKUP($E2,$D$22:$D$29,$E$22:$E$29),_xlfn.XLOOKUP($E2,$D$22:$D$29,$F$22:$F$29))</f>
        <v>-0.18</v>
      </c>
      <c r="I2" s="41">
        <f>G2+H2</f>
        <v>4.6900000000000004</v>
      </c>
      <c r="J2" s="40">
        <v>5000</v>
      </c>
      <c r="K2" s="40">
        <f>SUMIFS('Inbound Scale Tickets'!$S:$S,'Inbound Scale Tickets'!$B:$B,A2)</f>
        <v>1682</v>
      </c>
      <c r="L2" s="42">
        <f>J2-K2</f>
        <v>3318</v>
      </c>
      <c r="M2" s="43">
        <f>IF(J2=0,0,K2/J2)</f>
        <v>0.33639999999999998</v>
      </c>
      <c r="N2"/>
      <c r="O2" s="21"/>
      <c r="P2" s="21"/>
      <c r="Q2" s="21"/>
      <c r="R2" s="21"/>
      <c r="S2" s="21"/>
      <c r="T2" s="21"/>
      <c r="U2"/>
      <c r="V2"/>
      <c r="W2"/>
      <c r="X2"/>
      <c r="Y2"/>
      <c r="Z2"/>
      <c r="AA2"/>
    </row>
    <row r="3" spans="1:27" ht="18.75">
      <c r="A3" s="39" t="s">
        <v>19</v>
      </c>
      <c r="B3" s="40" t="s">
        <v>20</v>
      </c>
      <c r="C3" s="40" t="s">
        <v>15</v>
      </c>
      <c r="D3" s="40" t="s">
        <v>16</v>
      </c>
      <c r="E3" s="58" t="s">
        <v>17</v>
      </c>
      <c r="F3" s="40" t="s">
        <v>18</v>
      </c>
      <c r="G3" s="40">
        <v>4.87</v>
      </c>
      <c r="H3" s="41">
        <f t="shared" ref="H3:H16" si="0">IF($C3="Corn",_xlfn.XLOOKUP($E3,$D$22:$D$29,$E$22:$E$29),_xlfn.XLOOKUP($E3,$D$22:$D$29,$F$22:$F$29))</f>
        <v>-0.18</v>
      </c>
      <c r="I3" s="41">
        <f t="shared" ref="I3:I16" si="1">G3+H3</f>
        <v>4.6900000000000004</v>
      </c>
      <c r="J3" s="40">
        <v>10000</v>
      </c>
      <c r="K3" s="40">
        <f>SUMIFS('Inbound Scale Tickets'!$S:$S,'Inbound Scale Tickets'!$B:$B,A3)</f>
        <v>849</v>
      </c>
      <c r="L3" s="42">
        <f t="shared" ref="L3:L16" si="2">J3-K3</f>
        <v>9151</v>
      </c>
      <c r="M3" s="43">
        <f t="shared" ref="M3:M16" si="3">IF(J3=0,0,K3/J3)</f>
        <v>8.4900000000000003E-2</v>
      </c>
      <c r="N3"/>
      <c r="O3"/>
      <c r="P3"/>
      <c r="Q3"/>
      <c r="R3"/>
      <c r="S3"/>
      <c r="T3"/>
      <c r="U3"/>
      <c r="V3"/>
      <c r="W3"/>
      <c r="X3"/>
      <c r="Y3"/>
      <c r="Z3"/>
      <c r="AA3"/>
    </row>
    <row r="4" spans="1:27" ht="18.75">
      <c r="A4" s="39" t="s">
        <v>21</v>
      </c>
      <c r="B4" s="40" t="s">
        <v>22</v>
      </c>
      <c r="C4" s="40" t="s">
        <v>15</v>
      </c>
      <c r="D4" s="40" t="s">
        <v>16</v>
      </c>
      <c r="E4" s="58" t="s">
        <v>23</v>
      </c>
      <c r="F4" s="40" t="s">
        <v>18</v>
      </c>
      <c r="G4" s="40">
        <v>4.92</v>
      </c>
      <c r="H4" s="41">
        <f t="shared" si="0"/>
        <v>-0.24</v>
      </c>
      <c r="I4" s="41">
        <f t="shared" si="1"/>
        <v>4.68</v>
      </c>
      <c r="J4" s="40">
        <v>15000</v>
      </c>
      <c r="K4" s="40">
        <f>SUMIFS('Inbound Scale Tickets'!$S:$S,'Inbound Scale Tickets'!$B:$B,A4)</f>
        <v>3378</v>
      </c>
      <c r="L4" s="42">
        <f t="shared" si="2"/>
        <v>11622</v>
      </c>
      <c r="M4" s="43">
        <f t="shared" si="3"/>
        <v>0.22520000000000001</v>
      </c>
      <c r="N4"/>
      <c r="O4"/>
      <c r="P4"/>
      <c r="Q4"/>
      <c r="R4"/>
      <c r="S4"/>
      <c r="T4"/>
      <c r="U4"/>
      <c r="V4"/>
      <c r="W4"/>
      <c r="X4"/>
      <c r="Y4"/>
      <c r="Z4"/>
      <c r="AA4"/>
    </row>
    <row r="5" spans="1:27" ht="18.75">
      <c r="A5" s="39" t="s">
        <v>24</v>
      </c>
      <c r="B5" s="40" t="s">
        <v>25</v>
      </c>
      <c r="C5" s="40" t="s">
        <v>15</v>
      </c>
      <c r="D5" s="40" t="s">
        <v>16</v>
      </c>
      <c r="E5" s="58" t="s">
        <v>26</v>
      </c>
      <c r="F5" s="40" t="s">
        <v>27</v>
      </c>
      <c r="G5" s="40">
        <v>5.08</v>
      </c>
      <c r="H5" s="41">
        <f t="shared" si="0"/>
        <v>-0.22</v>
      </c>
      <c r="I5" s="41">
        <f t="shared" si="1"/>
        <v>4.8600000000000003</v>
      </c>
      <c r="J5" s="40">
        <v>25000</v>
      </c>
      <c r="K5" s="40">
        <f>SUMIFS('Inbound Scale Tickets'!$S:$S,'Inbound Scale Tickets'!$B:$B,A5)</f>
        <v>0</v>
      </c>
      <c r="L5" s="42">
        <f t="shared" si="2"/>
        <v>25000</v>
      </c>
      <c r="M5" s="43">
        <f t="shared" si="3"/>
        <v>0</v>
      </c>
      <c r="N5"/>
      <c r="O5"/>
      <c r="P5"/>
      <c r="Q5"/>
      <c r="R5"/>
      <c r="S5"/>
      <c r="T5"/>
      <c r="U5"/>
      <c r="V5"/>
      <c r="W5"/>
      <c r="X5"/>
      <c r="Y5"/>
      <c r="Z5"/>
      <c r="AA5"/>
    </row>
    <row r="6" spans="1:27" ht="18.75">
      <c r="A6" s="39" t="s">
        <v>28</v>
      </c>
      <c r="B6" s="40" t="s">
        <v>29</v>
      </c>
      <c r="C6" s="40" t="s">
        <v>15</v>
      </c>
      <c r="D6" s="40" t="s">
        <v>16</v>
      </c>
      <c r="E6" s="58" t="s">
        <v>30</v>
      </c>
      <c r="F6" s="40" t="s">
        <v>27</v>
      </c>
      <c r="G6" s="40">
        <v>5.12</v>
      </c>
      <c r="H6" s="41">
        <f t="shared" si="0"/>
        <v>-0.28000000000000003</v>
      </c>
      <c r="I6" s="41">
        <f t="shared" si="1"/>
        <v>4.84</v>
      </c>
      <c r="J6" s="40">
        <v>10000</v>
      </c>
      <c r="K6" s="40">
        <f>SUMIFS('Inbound Scale Tickets'!$S:$S,'Inbound Scale Tickets'!$B:$B,A6)</f>
        <v>832</v>
      </c>
      <c r="L6" s="42">
        <f t="shared" si="2"/>
        <v>9168</v>
      </c>
      <c r="M6" s="43">
        <f t="shared" si="3"/>
        <v>8.3199999999999996E-2</v>
      </c>
      <c r="N6"/>
      <c r="O6"/>
      <c r="P6"/>
      <c r="Q6"/>
      <c r="R6"/>
      <c r="S6"/>
      <c r="T6"/>
      <c r="U6"/>
      <c r="V6"/>
      <c r="W6"/>
      <c r="X6"/>
      <c r="Y6"/>
      <c r="Z6"/>
      <c r="AA6"/>
    </row>
    <row r="7" spans="1:27" ht="18.75">
      <c r="A7" s="39" t="s">
        <v>31</v>
      </c>
      <c r="B7" s="40" t="s">
        <v>32</v>
      </c>
      <c r="C7" s="40" t="s">
        <v>15</v>
      </c>
      <c r="D7" s="40" t="s">
        <v>16</v>
      </c>
      <c r="E7" s="58" t="s">
        <v>33</v>
      </c>
      <c r="F7" s="40" t="s">
        <v>34</v>
      </c>
      <c r="G7" s="40">
        <v>5.01</v>
      </c>
      <c r="H7" s="41">
        <f t="shared" si="0"/>
        <v>-0.33</v>
      </c>
      <c r="I7" s="41">
        <f t="shared" si="1"/>
        <v>4.68</v>
      </c>
      <c r="J7" s="40">
        <v>12000</v>
      </c>
      <c r="K7" s="40">
        <f>SUMIFS('Inbound Scale Tickets'!$S:$S,'Inbound Scale Tickets'!$B:$B,A7)</f>
        <v>0</v>
      </c>
      <c r="L7" s="42">
        <f t="shared" si="2"/>
        <v>12000</v>
      </c>
      <c r="M7" s="43">
        <f t="shared" si="3"/>
        <v>0</v>
      </c>
      <c r="N7"/>
      <c r="O7"/>
      <c r="P7"/>
      <c r="Q7"/>
      <c r="R7"/>
      <c r="S7"/>
      <c r="T7"/>
      <c r="U7"/>
      <c r="V7"/>
      <c r="W7"/>
      <c r="X7"/>
      <c r="Y7"/>
      <c r="Z7"/>
      <c r="AA7"/>
    </row>
    <row r="8" spans="1:27" ht="18.75">
      <c r="A8" s="34" t="s">
        <v>35</v>
      </c>
      <c r="B8" s="35" t="s">
        <v>36</v>
      </c>
      <c r="C8" s="35" t="s">
        <v>15</v>
      </c>
      <c r="D8" s="40" t="s">
        <v>16</v>
      </c>
      <c r="E8" s="59" t="s">
        <v>37</v>
      </c>
      <c r="F8" s="35" t="s">
        <v>38</v>
      </c>
      <c r="G8" s="35">
        <v>4.78</v>
      </c>
      <c r="H8" s="41">
        <f t="shared" si="0"/>
        <v>-0.42</v>
      </c>
      <c r="I8" s="36">
        <f t="shared" si="1"/>
        <v>4.3600000000000003</v>
      </c>
      <c r="J8" s="35">
        <v>30000</v>
      </c>
      <c r="K8" s="35">
        <f>SUMIFS('Inbound Scale Tickets'!$S:$S,'Inbound Scale Tickets'!$B:$B,A8)</f>
        <v>6114</v>
      </c>
      <c r="L8" s="37">
        <f t="shared" si="2"/>
        <v>23886</v>
      </c>
      <c r="M8" s="38">
        <f t="shared" si="3"/>
        <v>0.20380000000000001</v>
      </c>
      <c r="N8"/>
      <c r="O8"/>
      <c r="P8"/>
      <c r="Q8"/>
      <c r="R8"/>
      <c r="S8"/>
      <c r="T8"/>
      <c r="U8"/>
      <c r="V8"/>
      <c r="W8"/>
      <c r="X8"/>
      <c r="Y8"/>
      <c r="Z8"/>
      <c r="AA8"/>
    </row>
    <row r="9" spans="1:27" ht="18.75">
      <c r="A9" s="46" t="s">
        <v>39</v>
      </c>
      <c r="B9" s="47" t="s">
        <v>40</v>
      </c>
      <c r="C9" s="47" t="s">
        <v>15</v>
      </c>
      <c r="D9" s="40" t="s">
        <v>16</v>
      </c>
      <c r="E9" s="60" t="s">
        <v>37</v>
      </c>
      <c r="F9" s="47" t="s">
        <v>38</v>
      </c>
      <c r="G9" s="47">
        <v>4.78</v>
      </c>
      <c r="H9" s="41">
        <f t="shared" si="0"/>
        <v>-0.42</v>
      </c>
      <c r="I9" s="48">
        <f t="shared" si="1"/>
        <v>4.3600000000000003</v>
      </c>
      <c r="J9" s="47">
        <v>20000</v>
      </c>
      <c r="K9" s="47">
        <f>SUMIFS('Inbound Scale Tickets'!$S:$S,'Inbound Scale Tickets'!$B:$B,A9)</f>
        <v>3477</v>
      </c>
      <c r="L9" s="49">
        <f t="shared" si="2"/>
        <v>16523</v>
      </c>
      <c r="M9" s="50">
        <f t="shared" si="3"/>
        <v>0.17385</v>
      </c>
      <c r="N9"/>
      <c r="O9"/>
      <c r="P9"/>
      <c r="Q9"/>
      <c r="R9"/>
      <c r="S9"/>
      <c r="T9"/>
      <c r="U9"/>
      <c r="V9"/>
      <c r="W9"/>
      <c r="X9"/>
      <c r="Y9"/>
      <c r="Z9"/>
      <c r="AA9"/>
    </row>
    <row r="10" spans="1:27" ht="18.75">
      <c r="A10" s="51" t="s">
        <v>41</v>
      </c>
      <c r="B10" s="17" t="s">
        <v>42</v>
      </c>
      <c r="C10" s="17" t="s">
        <v>43</v>
      </c>
      <c r="D10" s="40" t="s">
        <v>16</v>
      </c>
      <c r="E10" s="61" t="s">
        <v>44</v>
      </c>
      <c r="F10" s="17" t="s">
        <v>45</v>
      </c>
      <c r="G10" s="17">
        <v>10.58</v>
      </c>
      <c r="H10" s="41">
        <f t="shared" si="0"/>
        <v>-0.4</v>
      </c>
      <c r="I10" s="44">
        <f t="shared" si="1"/>
        <v>10.18</v>
      </c>
      <c r="J10" s="17">
        <v>4000</v>
      </c>
      <c r="K10" s="17">
        <f>SUMIFS('Inbound Scale Tickets'!$S:$S,'Inbound Scale Tickets'!$B:$B,A10)</f>
        <v>0</v>
      </c>
      <c r="L10" s="45">
        <f t="shared" si="2"/>
        <v>4000</v>
      </c>
      <c r="M10" s="52">
        <f t="shared" si="3"/>
        <v>0</v>
      </c>
      <c r="N10"/>
      <c r="O10"/>
      <c r="P10"/>
      <c r="Q10"/>
      <c r="R10"/>
      <c r="S10"/>
      <c r="T10"/>
      <c r="U10"/>
      <c r="V10"/>
      <c r="W10"/>
      <c r="X10"/>
      <c r="Y10"/>
      <c r="Z10"/>
      <c r="AA10"/>
    </row>
    <row r="11" spans="1:27" ht="18.75">
      <c r="A11" s="39" t="s">
        <v>46</v>
      </c>
      <c r="B11" s="40" t="s">
        <v>47</v>
      </c>
      <c r="C11" s="40" t="s">
        <v>43</v>
      </c>
      <c r="D11" s="40" t="s">
        <v>16</v>
      </c>
      <c r="E11" s="58" t="s">
        <v>44</v>
      </c>
      <c r="F11" s="40" t="s">
        <v>48</v>
      </c>
      <c r="G11" s="40">
        <v>10.74</v>
      </c>
      <c r="H11" s="41">
        <f t="shared" si="0"/>
        <v>-0.4</v>
      </c>
      <c r="I11" s="41">
        <f t="shared" si="1"/>
        <v>10.34</v>
      </c>
      <c r="J11" s="40">
        <v>2500</v>
      </c>
      <c r="K11" s="40">
        <f>SUMIFS('Inbound Scale Tickets'!$S:$S,'Inbound Scale Tickets'!$B:$B,A11)</f>
        <v>830</v>
      </c>
      <c r="L11" s="42">
        <f t="shared" si="2"/>
        <v>1670</v>
      </c>
      <c r="M11" s="43">
        <f t="shared" si="3"/>
        <v>0.33200000000000002</v>
      </c>
      <c r="N11"/>
      <c r="O11"/>
      <c r="P11"/>
      <c r="Q11"/>
      <c r="R11"/>
      <c r="S11"/>
      <c r="T11"/>
      <c r="U11"/>
      <c r="V11"/>
      <c r="W11"/>
      <c r="X11"/>
      <c r="Y11"/>
      <c r="Z11"/>
      <c r="AA11"/>
    </row>
    <row r="12" spans="1:27" ht="18.75">
      <c r="A12" s="39" t="s">
        <v>49</v>
      </c>
      <c r="B12" s="40" t="s">
        <v>50</v>
      </c>
      <c r="C12" s="40" t="s">
        <v>43</v>
      </c>
      <c r="D12" s="40" t="s">
        <v>16</v>
      </c>
      <c r="E12" s="58" t="s">
        <v>37</v>
      </c>
      <c r="F12" s="40" t="s">
        <v>51</v>
      </c>
      <c r="G12" s="40">
        <v>10.95</v>
      </c>
      <c r="H12" s="41">
        <f t="shared" si="0"/>
        <v>-0.55000000000000004</v>
      </c>
      <c r="I12" s="41">
        <f t="shared" si="1"/>
        <v>10.399999999999999</v>
      </c>
      <c r="J12" s="40">
        <v>8000</v>
      </c>
      <c r="K12" s="40">
        <f>SUMIFS('Inbound Scale Tickets'!$S:$S,'Inbound Scale Tickets'!$B:$B,A12)</f>
        <v>3288</v>
      </c>
      <c r="L12" s="42">
        <f t="shared" si="2"/>
        <v>4712</v>
      </c>
      <c r="M12" s="43">
        <f t="shared" si="3"/>
        <v>0.41099999999999998</v>
      </c>
      <c r="N12"/>
      <c r="O12"/>
      <c r="P12"/>
      <c r="Q12"/>
      <c r="R12"/>
      <c r="S12"/>
      <c r="T12"/>
      <c r="U12"/>
      <c r="V12"/>
      <c r="W12"/>
      <c r="X12"/>
      <c r="Y12"/>
      <c r="Z12"/>
      <c r="AA12"/>
    </row>
    <row r="13" spans="1:27" ht="18.75">
      <c r="A13" s="39" t="s">
        <v>52</v>
      </c>
      <c r="B13" s="40" t="s">
        <v>53</v>
      </c>
      <c r="C13" s="40" t="s">
        <v>43</v>
      </c>
      <c r="D13" s="40" t="s">
        <v>16</v>
      </c>
      <c r="E13" s="58" t="s">
        <v>37</v>
      </c>
      <c r="F13" s="40" t="s">
        <v>51</v>
      </c>
      <c r="G13" s="40">
        <v>10.95</v>
      </c>
      <c r="H13" s="41">
        <f t="shared" si="0"/>
        <v>-0.55000000000000004</v>
      </c>
      <c r="I13" s="41">
        <f t="shared" si="1"/>
        <v>10.399999999999999</v>
      </c>
      <c r="J13" s="40">
        <v>5000</v>
      </c>
      <c r="K13" s="40">
        <f>SUMIFS('Inbound Scale Tickets'!$S:$S,'Inbound Scale Tickets'!$B:$B,A13)</f>
        <v>0</v>
      </c>
      <c r="L13" s="42">
        <f t="shared" si="2"/>
        <v>5000</v>
      </c>
      <c r="M13" s="43">
        <f t="shared" si="3"/>
        <v>0</v>
      </c>
      <c r="N13"/>
      <c r="O13"/>
      <c r="P13"/>
      <c r="Q13"/>
      <c r="R13"/>
      <c r="S13"/>
      <c r="T13"/>
      <c r="U13"/>
      <c r="V13"/>
      <c r="W13"/>
      <c r="X13"/>
      <c r="Y13"/>
      <c r="Z13"/>
      <c r="AA13"/>
    </row>
    <row r="14" spans="1:27" ht="18.75">
      <c r="A14" s="39" t="s">
        <v>54</v>
      </c>
      <c r="B14" s="40" t="s">
        <v>55</v>
      </c>
      <c r="C14" s="40" t="s">
        <v>43</v>
      </c>
      <c r="D14" s="40" t="s">
        <v>16</v>
      </c>
      <c r="E14" s="58" t="s">
        <v>37</v>
      </c>
      <c r="F14" s="40" t="s">
        <v>51</v>
      </c>
      <c r="G14" s="40">
        <v>10.95</v>
      </c>
      <c r="H14" s="41">
        <f t="shared" si="0"/>
        <v>-0.55000000000000004</v>
      </c>
      <c r="I14" s="41">
        <f t="shared" si="1"/>
        <v>10.399999999999999</v>
      </c>
      <c r="J14" s="40">
        <v>12000</v>
      </c>
      <c r="K14" s="40">
        <f>SUMIFS('Inbound Scale Tickets'!$S:$S,'Inbound Scale Tickets'!$B:$B,A14)</f>
        <v>3298</v>
      </c>
      <c r="L14" s="42">
        <f t="shared" si="2"/>
        <v>8702</v>
      </c>
      <c r="M14" s="43">
        <f t="shared" si="3"/>
        <v>0.27483333333333332</v>
      </c>
      <c r="N14"/>
      <c r="O14"/>
      <c r="P14"/>
      <c r="Q14"/>
      <c r="R14"/>
      <c r="S14"/>
      <c r="T14"/>
      <c r="U14"/>
      <c r="V14"/>
      <c r="W14"/>
      <c r="X14"/>
      <c r="Y14"/>
      <c r="Z14"/>
      <c r="AA14"/>
    </row>
    <row r="15" spans="1:27" ht="18.75">
      <c r="A15" s="39" t="s">
        <v>56</v>
      </c>
      <c r="B15" s="40" t="s">
        <v>57</v>
      </c>
      <c r="C15" s="40" t="s">
        <v>43</v>
      </c>
      <c r="D15" s="40" t="s">
        <v>16</v>
      </c>
      <c r="E15" s="58" t="s">
        <v>37</v>
      </c>
      <c r="F15" s="40" t="s">
        <v>51</v>
      </c>
      <c r="G15" s="40">
        <v>10.95</v>
      </c>
      <c r="H15" s="41">
        <f t="shared" si="0"/>
        <v>-0.55000000000000004</v>
      </c>
      <c r="I15" s="41">
        <f t="shared" si="1"/>
        <v>10.399999999999999</v>
      </c>
      <c r="J15" s="40">
        <v>10000</v>
      </c>
      <c r="K15" s="40">
        <f>SUMIFS('Inbound Scale Tickets'!$S:$S,'Inbound Scale Tickets'!$B:$B,A15)</f>
        <v>1630</v>
      </c>
      <c r="L15" s="42">
        <f t="shared" si="2"/>
        <v>8370</v>
      </c>
      <c r="M15" s="43">
        <f t="shared" si="3"/>
        <v>0.16300000000000001</v>
      </c>
      <c r="N15"/>
      <c r="O15"/>
      <c r="P15"/>
      <c r="Q15"/>
      <c r="R15"/>
      <c r="S15"/>
      <c r="T15"/>
      <c r="U15"/>
      <c r="V15"/>
      <c r="W15"/>
      <c r="X15"/>
      <c r="Y15"/>
      <c r="Z15"/>
      <c r="AA15"/>
    </row>
    <row r="16" spans="1:27" ht="18.75">
      <c r="A16" s="34" t="s">
        <v>58</v>
      </c>
      <c r="B16" s="35" t="s">
        <v>59</v>
      </c>
      <c r="C16" s="35" t="s">
        <v>43</v>
      </c>
      <c r="D16" s="35" t="s">
        <v>16</v>
      </c>
      <c r="E16" s="59" t="s">
        <v>60</v>
      </c>
      <c r="F16" s="35" t="s">
        <v>51</v>
      </c>
      <c r="G16" s="35">
        <v>11.05</v>
      </c>
      <c r="H16" s="36">
        <f t="shared" si="0"/>
        <v>-0.42</v>
      </c>
      <c r="I16" s="36">
        <f t="shared" si="1"/>
        <v>10.63</v>
      </c>
      <c r="J16" s="35">
        <v>6000</v>
      </c>
      <c r="K16" s="35">
        <f>SUMIFS('Inbound Scale Tickets'!$S:$S,'Inbound Scale Tickets'!$B:$B,A16)</f>
        <v>0</v>
      </c>
      <c r="L16" s="37">
        <f t="shared" si="2"/>
        <v>6000</v>
      </c>
      <c r="M16" s="38">
        <v>7.0000000000000007E-2</v>
      </c>
      <c r="N16"/>
      <c r="O16"/>
      <c r="P16"/>
      <c r="Q16"/>
      <c r="R16"/>
      <c r="S16"/>
      <c r="T16"/>
      <c r="U16"/>
      <c r="V16"/>
      <c r="W16"/>
      <c r="X16"/>
      <c r="Y16"/>
      <c r="Z16"/>
      <c r="AA16"/>
    </row>
    <row r="17" spans="1:27">
      <c r="A17"/>
      <c r="B17"/>
      <c r="C17"/>
      <c r="D17"/>
      <c r="E17"/>
      <c r="F17"/>
      <c r="G17"/>
      <c r="H17"/>
      <c r="I17"/>
      <c r="J17"/>
      <c r="K17"/>
      <c r="L17"/>
      <c r="M17"/>
      <c r="N17"/>
      <c r="O17"/>
      <c r="P17"/>
      <c r="Q17"/>
      <c r="R17"/>
      <c r="S17"/>
      <c r="T17"/>
      <c r="U17"/>
      <c r="V17"/>
      <c r="W17"/>
      <c r="X17"/>
      <c r="Y17"/>
      <c r="Z17"/>
      <c r="AA17"/>
    </row>
    <row r="18" spans="1:27">
      <c r="A18"/>
      <c r="B18"/>
      <c r="C18"/>
      <c r="D18"/>
      <c r="E18"/>
      <c r="F18"/>
      <c r="G18"/>
      <c r="H18"/>
      <c r="I18"/>
      <c r="J18"/>
      <c r="K18"/>
      <c r="L18"/>
      <c r="M18"/>
      <c r="N18"/>
      <c r="O18"/>
      <c r="P18"/>
      <c r="Q18"/>
      <c r="R18"/>
      <c r="S18"/>
      <c r="T18"/>
      <c r="U18"/>
      <c r="V18"/>
      <c r="W18"/>
      <c r="X18"/>
      <c r="Y18"/>
      <c r="Z18"/>
      <c r="AA18"/>
    </row>
    <row r="19" spans="1:27" ht="15" customHeight="1">
      <c r="A19"/>
      <c r="B19"/>
      <c r="C19" s="56"/>
      <c r="D19" s="202" t="s">
        <v>61</v>
      </c>
      <c r="E19" s="203"/>
      <c r="F19" s="204"/>
      <c r="G19" s="57"/>
      <c r="H19" s="57"/>
      <c r="I19"/>
      <c r="J19"/>
      <c r="K19"/>
      <c r="L19"/>
      <c r="M19"/>
      <c r="N19"/>
      <c r="O19"/>
      <c r="P19"/>
      <c r="Q19"/>
      <c r="R19"/>
      <c r="S19"/>
      <c r="T19"/>
      <c r="U19"/>
      <c r="V19"/>
      <c r="W19"/>
      <c r="X19"/>
      <c r="Y19"/>
      <c r="Z19"/>
      <c r="AA19"/>
    </row>
    <row r="20" spans="1:27" ht="15" customHeight="1">
      <c r="A20"/>
      <c r="B20"/>
      <c r="C20" s="201"/>
      <c r="D20" s="201"/>
      <c r="E20" s="201"/>
      <c r="F20" s="201"/>
      <c r="G20" s="201"/>
      <c r="H20" s="201"/>
      <c r="I20"/>
      <c r="J20"/>
      <c r="K20"/>
      <c r="L20"/>
      <c r="M20"/>
      <c r="N20"/>
      <c r="O20"/>
      <c r="P20"/>
      <c r="Q20"/>
      <c r="R20"/>
      <c r="S20"/>
      <c r="T20"/>
      <c r="U20"/>
      <c r="V20"/>
      <c r="W20"/>
      <c r="X20"/>
      <c r="Y20"/>
      <c r="Z20"/>
      <c r="AA20"/>
    </row>
    <row r="21" spans="1:27" ht="15.75">
      <c r="A21"/>
      <c r="B21"/>
      <c r="C21"/>
      <c r="D21" s="4" t="s">
        <v>4</v>
      </c>
      <c r="E21" s="24" t="s">
        <v>62</v>
      </c>
      <c r="F21" s="25" t="s">
        <v>63</v>
      </c>
      <c r="G21"/>
      <c r="H21"/>
      <c r="I21"/>
      <c r="J21" s="16"/>
      <c r="K21"/>
      <c r="L21"/>
      <c r="M21"/>
      <c r="N21"/>
      <c r="O21"/>
      <c r="P21"/>
      <c r="Q21"/>
      <c r="R21"/>
      <c r="S21"/>
      <c r="T21"/>
      <c r="U21"/>
      <c r="V21"/>
      <c r="W21"/>
      <c r="X21"/>
      <c r="Y21"/>
      <c r="Z21"/>
      <c r="AA21"/>
    </row>
    <row r="22" spans="1:27">
      <c r="A22"/>
      <c r="B22"/>
      <c r="C22"/>
      <c r="D22" s="53" t="s">
        <v>17</v>
      </c>
      <c r="E22" s="23">
        <v>-0.18</v>
      </c>
      <c r="F22" s="26" t="s">
        <v>64</v>
      </c>
      <c r="G22"/>
      <c r="H22"/>
      <c r="I22"/>
      <c r="J22"/>
      <c r="K22"/>
      <c r="L22"/>
      <c r="M22"/>
      <c r="N22"/>
      <c r="O22"/>
      <c r="P22"/>
      <c r="Q22"/>
      <c r="R22"/>
      <c r="S22"/>
      <c r="T22"/>
      <c r="U22"/>
      <c r="V22"/>
      <c r="W22"/>
      <c r="X22"/>
      <c r="Y22"/>
      <c r="Z22"/>
      <c r="AA22"/>
    </row>
    <row r="23" spans="1:27">
      <c r="A23"/>
      <c r="B23"/>
      <c r="C23"/>
      <c r="D23" s="54" t="s">
        <v>23</v>
      </c>
      <c r="E23" s="22">
        <v>-0.24</v>
      </c>
      <c r="F23" s="27" t="s">
        <v>64</v>
      </c>
      <c r="G23"/>
      <c r="H23"/>
      <c r="I23"/>
      <c r="J23"/>
      <c r="K23"/>
      <c r="L23"/>
      <c r="M23"/>
      <c r="N23"/>
      <c r="O23"/>
      <c r="P23"/>
      <c r="Q23"/>
      <c r="R23"/>
      <c r="S23"/>
      <c r="T23"/>
      <c r="U23"/>
      <c r="V23"/>
      <c r="W23"/>
      <c r="X23"/>
      <c r="Y23"/>
      <c r="Z23"/>
      <c r="AA23"/>
    </row>
    <row r="24" spans="1:27">
      <c r="A24"/>
      <c r="B24"/>
      <c r="C24"/>
      <c r="D24" s="54" t="s">
        <v>26</v>
      </c>
      <c r="E24" s="22">
        <v>-0.22</v>
      </c>
      <c r="F24" s="27" t="s">
        <v>64</v>
      </c>
      <c r="G24"/>
      <c r="H24"/>
      <c r="I24"/>
      <c r="J24"/>
      <c r="K24"/>
      <c r="L24"/>
      <c r="M24"/>
      <c r="N24"/>
      <c r="O24"/>
      <c r="P24"/>
      <c r="Q24"/>
      <c r="R24"/>
      <c r="S24"/>
      <c r="T24"/>
      <c r="U24"/>
      <c r="V24"/>
      <c r="W24"/>
      <c r="X24"/>
    </row>
    <row r="25" spans="1:27">
      <c r="A25"/>
      <c r="B25"/>
      <c r="C25"/>
      <c r="D25" s="54" t="s">
        <v>30</v>
      </c>
      <c r="E25" s="22">
        <v>-0.28000000000000003</v>
      </c>
      <c r="F25" s="27" t="s">
        <v>64</v>
      </c>
      <c r="G25"/>
      <c r="H25"/>
      <c r="I25"/>
      <c r="J25"/>
      <c r="K25"/>
      <c r="L25"/>
      <c r="M25"/>
      <c r="N25"/>
      <c r="O25"/>
      <c r="P25"/>
      <c r="Q25"/>
      <c r="R25"/>
      <c r="S25"/>
      <c r="T25"/>
      <c r="U25"/>
      <c r="V25"/>
      <c r="W25"/>
      <c r="X25"/>
    </row>
    <row r="26" spans="1:27">
      <c r="A26"/>
      <c r="B26"/>
      <c r="C26"/>
      <c r="D26" s="54" t="s">
        <v>44</v>
      </c>
      <c r="E26" s="22" t="s">
        <v>64</v>
      </c>
      <c r="F26" s="28">
        <v>-0.4</v>
      </c>
      <c r="G26"/>
      <c r="H26"/>
      <c r="I26"/>
      <c r="J26"/>
      <c r="K26"/>
      <c r="L26"/>
      <c r="M26"/>
      <c r="N26"/>
      <c r="O26"/>
      <c r="P26"/>
      <c r="Q26"/>
      <c r="R26"/>
      <c r="S26"/>
      <c r="T26"/>
      <c r="U26"/>
      <c r="V26"/>
      <c r="W26"/>
      <c r="X26"/>
    </row>
    <row r="27" spans="1:27">
      <c r="A27"/>
      <c r="B27"/>
      <c r="C27"/>
      <c r="D27" s="54" t="s">
        <v>33</v>
      </c>
      <c r="E27" s="22">
        <v>-0.33</v>
      </c>
      <c r="F27" s="27" t="s">
        <v>64</v>
      </c>
      <c r="G27"/>
      <c r="H27"/>
      <c r="I27"/>
      <c r="J27"/>
      <c r="K27"/>
      <c r="L27"/>
      <c r="M27"/>
      <c r="N27"/>
      <c r="O27"/>
      <c r="P27"/>
      <c r="Q27"/>
      <c r="R27"/>
      <c r="S27"/>
      <c r="T27"/>
      <c r="U27"/>
      <c r="V27"/>
      <c r="W27"/>
      <c r="X27"/>
    </row>
    <row r="28" spans="1:27">
      <c r="A28"/>
      <c r="B28"/>
      <c r="C28"/>
      <c r="D28" s="54" t="s">
        <v>60</v>
      </c>
      <c r="E28" s="22" t="s">
        <v>64</v>
      </c>
      <c r="F28" s="27">
        <v>-0.42</v>
      </c>
      <c r="G28"/>
      <c r="H28"/>
      <c r="I28"/>
      <c r="J28"/>
      <c r="K28"/>
      <c r="L28"/>
      <c r="M28"/>
      <c r="N28"/>
      <c r="O28"/>
      <c r="P28"/>
      <c r="Q28"/>
      <c r="R28"/>
      <c r="S28"/>
      <c r="T28"/>
      <c r="U28"/>
      <c r="V28"/>
      <c r="W28"/>
      <c r="X28"/>
    </row>
    <row r="29" spans="1:27">
      <c r="A29"/>
      <c r="B29"/>
      <c r="C29"/>
      <c r="D29" s="55" t="s">
        <v>37</v>
      </c>
      <c r="E29" s="29">
        <v>-0.42</v>
      </c>
      <c r="F29" s="30">
        <v>-0.55000000000000004</v>
      </c>
      <c r="G29"/>
      <c r="H29"/>
      <c r="I29"/>
      <c r="J29"/>
      <c r="K29"/>
      <c r="L29"/>
      <c r="M29"/>
      <c r="N29"/>
      <c r="O29"/>
      <c r="P29"/>
      <c r="Q29"/>
      <c r="R29"/>
      <c r="S29"/>
      <c r="T29"/>
      <c r="U29"/>
      <c r="V29"/>
      <c r="W29"/>
      <c r="X29"/>
    </row>
    <row r="30" spans="1:27">
      <c r="A30"/>
      <c r="B30"/>
      <c r="C30"/>
      <c r="D30"/>
      <c r="E30"/>
      <c r="F30"/>
      <c r="G30"/>
      <c r="H30"/>
      <c r="I30"/>
      <c r="J30"/>
      <c r="K30"/>
      <c r="L30"/>
      <c r="M30"/>
      <c r="O30"/>
      <c r="P30"/>
      <c r="Q30"/>
      <c r="R30"/>
      <c r="S30"/>
      <c r="T30"/>
      <c r="U30"/>
      <c r="V30"/>
      <c r="W30"/>
      <c r="X30"/>
    </row>
    <row r="31" spans="1:27">
      <c r="A31"/>
      <c r="B31"/>
      <c r="C31"/>
      <c r="D31"/>
      <c r="E31"/>
      <c r="F31"/>
      <c r="G31"/>
      <c r="H31"/>
      <c r="I31"/>
      <c r="J31"/>
      <c r="K31"/>
      <c r="L31"/>
      <c r="M31"/>
      <c r="O31"/>
      <c r="P31"/>
      <c r="Q31"/>
      <c r="R31"/>
      <c r="S31"/>
      <c r="T31"/>
      <c r="U31"/>
      <c r="V31"/>
      <c r="W31"/>
      <c r="X31"/>
    </row>
    <row r="32" spans="1:27">
      <c r="A32"/>
      <c r="B32"/>
      <c r="C32"/>
      <c r="D32"/>
      <c r="E32"/>
      <c r="F32"/>
      <c r="G32"/>
      <c r="H32"/>
      <c r="I32"/>
      <c r="J32"/>
      <c r="K32"/>
      <c r="L32"/>
      <c r="M32"/>
      <c r="O32"/>
      <c r="P32"/>
      <c r="Q32"/>
      <c r="R32"/>
      <c r="S32"/>
      <c r="T32"/>
      <c r="U32"/>
      <c r="V32"/>
      <c r="W32"/>
      <c r="X32"/>
    </row>
    <row r="33" spans="1:27">
      <c r="A33"/>
      <c r="B33"/>
      <c r="C33"/>
      <c r="D33"/>
      <c r="E33"/>
      <c r="F33"/>
      <c r="G33"/>
      <c r="H33"/>
      <c r="I33"/>
      <c r="J33"/>
      <c r="K33"/>
      <c r="L33"/>
      <c r="M33"/>
      <c r="O33"/>
      <c r="P33"/>
      <c r="Q33"/>
      <c r="R33"/>
      <c r="S33"/>
      <c r="T33"/>
      <c r="U33"/>
      <c r="V33"/>
      <c r="W33"/>
      <c r="X33"/>
    </row>
    <row r="34" spans="1:27">
      <c r="A34"/>
      <c r="B34"/>
      <c r="C34"/>
      <c r="D34"/>
      <c r="E34"/>
      <c r="F34"/>
      <c r="G34"/>
      <c r="H34"/>
      <c r="I34"/>
      <c r="J34"/>
      <c r="K34"/>
      <c r="L34"/>
      <c r="M34"/>
      <c r="O34"/>
      <c r="P34"/>
      <c r="Q34"/>
      <c r="R34"/>
      <c r="S34"/>
      <c r="T34"/>
      <c r="U34"/>
      <c r="V34"/>
      <c r="W34"/>
      <c r="X34"/>
    </row>
    <row r="35" spans="1:27">
      <c r="A35"/>
      <c r="B35"/>
      <c r="C35"/>
      <c r="D35"/>
      <c r="E35"/>
      <c r="F35"/>
      <c r="G35"/>
      <c r="H35"/>
      <c r="I35"/>
      <c r="J35"/>
      <c r="K35"/>
      <c r="L35"/>
      <c r="M35"/>
      <c r="O35"/>
      <c r="P35"/>
      <c r="Q35"/>
      <c r="R35"/>
      <c r="S35"/>
      <c r="T35"/>
      <c r="U35"/>
      <c r="V35"/>
      <c r="W35"/>
      <c r="X35"/>
    </row>
    <row r="36" spans="1:27">
      <c r="A36"/>
      <c r="B36"/>
      <c r="C36"/>
      <c r="D36"/>
      <c r="E36"/>
      <c r="F36"/>
      <c r="G36"/>
      <c r="H36"/>
      <c r="I36"/>
      <c r="J36"/>
      <c r="K36"/>
      <c r="L36"/>
      <c r="M36"/>
      <c r="N36"/>
      <c r="O36"/>
      <c r="P36"/>
      <c r="Q36"/>
      <c r="R36"/>
      <c r="S36"/>
      <c r="T36"/>
      <c r="U36"/>
      <c r="V36"/>
      <c r="W36"/>
      <c r="X36"/>
      <c r="Y36"/>
      <c r="Z36"/>
      <c r="AA36"/>
    </row>
    <row r="37" spans="1:27">
      <c r="A37"/>
      <c r="B37"/>
      <c r="C37"/>
      <c r="D37"/>
      <c r="E37"/>
      <c r="F37"/>
      <c r="G37"/>
      <c r="H37"/>
      <c r="I37"/>
      <c r="J37"/>
      <c r="K37"/>
      <c r="L37"/>
      <c r="M37"/>
      <c r="N37"/>
      <c r="O37"/>
      <c r="P37"/>
      <c r="Q37"/>
      <c r="R37"/>
      <c r="S37"/>
      <c r="T37"/>
      <c r="U37"/>
      <c r="V37"/>
      <c r="W37"/>
      <c r="X37"/>
      <c r="Y37"/>
      <c r="Z37"/>
      <c r="AA37"/>
    </row>
    <row r="38" spans="1:27">
      <c r="A38"/>
      <c r="B38"/>
      <c r="C38"/>
      <c r="D38"/>
      <c r="E38"/>
      <c r="F38"/>
      <c r="G38"/>
      <c r="H38"/>
      <c r="I38"/>
      <c r="J38"/>
      <c r="K38"/>
      <c r="L38"/>
      <c r="M38"/>
      <c r="N38"/>
      <c r="O38"/>
      <c r="P38"/>
      <c r="Q38"/>
      <c r="R38"/>
      <c r="S38"/>
      <c r="T38"/>
      <c r="U38"/>
      <c r="V38"/>
      <c r="W38"/>
      <c r="X38"/>
      <c r="Y38"/>
      <c r="Z38"/>
      <c r="AA38"/>
    </row>
    <row r="39" spans="1:27">
      <c r="A39"/>
      <c r="B39"/>
      <c r="C39"/>
      <c r="D39"/>
      <c r="E39"/>
      <c r="F39"/>
      <c r="G39"/>
      <c r="H39"/>
      <c r="I39"/>
      <c r="J39"/>
      <c r="K39"/>
      <c r="L39"/>
      <c r="M39"/>
      <c r="N39"/>
      <c r="O39"/>
      <c r="P39"/>
      <c r="Q39"/>
      <c r="R39"/>
      <c r="S39"/>
      <c r="T39"/>
      <c r="U39"/>
      <c r="V39"/>
      <c r="W39"/>
      <c r="X39"/>
      <c r="Y39"/>
      <c r="Z39"/>
      <c r="AA39"/>
    </row>
    <row r="40" spans="1:27">
      <c r="A40"/>
      <c r="B40"/>
      <c r="C40"/>
      <c r="D40"/>
      <c r="E40"/>
      <c r="F40"/>
      <c r="G40"/>
      <c r="H40"/>
      <c r="I40"/>
      <c r="J40"/>
      <c r="K40"/>
      <c r="L40"/>
      <c r="M40"/>
      <c r="O40"/>
      <c r="P40"/>
      <c r="Q40"/>
      <c r="R40"/>
      <c r="S40"/>
      <c r="T40"/>
      <c r="U40"/>
      <c r="V40"/>
      <c r="W40"/>
      <c r="X40"/>
    </row>
    <row r="41" spans="1:27">
      <c r="A41"/>
      <c r="B41"/>
      <c r="C41"/>
      <c r="D41"/>
      <c r="E41"/>
      <c r="F41"/>
      <c r="G41"/>
      <c r="H41"/>
      <c r="I41"/>
      <c r="J41"/>
      <c r="K41"/>
      <c r="L41"/>
      <c r="M41"/>
      <c r="O41"/>
      <c r="P41"/>
      <c r="Q41"/>
      <c r="R41"/>
      <c r="S41"/>
      <c r="T41"/>
      <c r="U41"/>
      <c r="V41"/>
      <c r="W41"/>
      <c r="X41"/>
    </row>
    <row r="42" spans="1:27">
      <c r="O42"/>
      <c r="P42"/>
      <c r="Q42"/>
      <c r="R42"/>
      <c r="S42"/>
      <c r="T42"/>
      <c r="U42"/>
      <c r="V42"/>
      <c r="W42"/>
      <c r="X42"/>
    </row>
    <row r="43" spans="1:27">
      <c r="O43"/>
      <c r="P43"/>
      <c r="Q43"/>
      <c r="R43"/>
      <c r="S43"/>
      <c r="T43"/>
      <c r="U43"/>
      <c r="V43"/>
      <c r="W43"/>
      <c r="X43"/>
    </row>
    <row r="44" spans="1:27">
      <c r="O44"/>
      <c r="P44"/>
      <c r="Q44"/>
      <c r="R44"/>
      <c r="S44"/>
      <c r="T44"/>
      <c r="U44"/>
      <c r="V44"/>
      <c r="W44"/>
      <c r="X44"/>
    </row>
    <row r="45" spans="1:27">
      <c r="O45"/>
      <c r="P45"/>
      <c r="Q45"/>
      <c r="R45"/>
      <c r="S45"/>
      <c r="T45"/>
      <c r="U45"/>
      <c r="V45"/>
      <c r="W45"/>
      <c r="X45"/>
    </row>
    <row r="46" spans="1:27">
      <c r="O46"/>
      <c r="P46"/>
      <c r="Q46"/>
      <c r="R46"/>
      <c r="S46"/>
      <c r="T46"/>
      <c r="U46"/>
      <c r="V46"/>
      <c r="W46"/>
      <c r="X46"/>
    </row>
    <row r="47" spans="1:27">
      <c r="O47"/>
      <c r="P47"/>
      <c r="Q47"/>
      <c r="R47"/>
      <c r="S47"/>
      <c r="T47"/>
      <c r="U47"/>
      <c r="V47"/>
      <c r="W47"/>
      <c r="X47"/>
    </row>
    <row r="48" spans="1:27">
      <c r="O48"/>
      <c r="P48"/>
      <c r="Q48"/>
      <c r="R48"/>
      <c r="S48"/>
      <c r="T48"/>
      <c r="U48"/>
      <c r="V48"/>
      <c r="W48"/>
      <c r="X48"/>
    </row>
  </sheetData>
  <mergeCells count="2">
    <mergeCell ref="C20:H20"/>
    <mergeCell ref="D19:F19"/>
  </mergeCells>
  <conditionalFormatting sqref="M2:M1000">
    <cfRule type="expression" dxfId="18" priority="17">
      <formula>AND(M2&lt;&gt;"",M2&lt;0.25)</formula>
    </cfRule>
  </conditionalFormatting>
  <conditionalFormatting sqref="M2:M1000">
    <cfRule type="expression" dxfId="17" priority="16">
      <formula>AND(M2&gt;=0.25,M2&lt;0.75)</formula>
    </cfRule>
  </conditionalFormatting>
  <conditionalFormatting sqref="M2:M1000">
    <cfRule type="expression" dxfId="16" priority="15">
      <formula>M2&gt;=0.75</formula>
    </cfRule>
  </conditionalFormatting>
  <conditionalFormatting sqref="A33:K1000 A21:A30 A31:C32 E21:K32 D21:I29 A20:K20 A19:D19 G19:K19 A2:K18">
    <cfRule type="expression" dxfId="15" priority="14">
      <formula>$C2="Corn"</formula>
    </cfRule>
  </conditionalFormatting>
  <conditionalFormatting sqref="A33:K1000 A21:A30 A31:C32 E21:K32 D21:I29 A20:K20 A19:D19 G19:K19 A2:K18">
    <cfRule type="expression" dxfId="14" priority="13">
      <formula>$C2="soybeans"</formula>
    </cfRule>
  </conditionalFormatting>
  <conditionalFormatting sqref="C21:C30">
    <cfRule type="expression" dxfId="13" priority="12">
      <formula>AND(C21&lt;&gt;"",C21&lt;0.25)</formula>
    </cfRule>
  </conditionalFormatting>
  <conditionalFormatting sqref="C21:C30">
    <cfRule type="expression" dxfId="12" priority="11">
      <formula>AND(C21&gt;=0.25,C21&lt;0.75)</formula>
    </cfRule>
  </conditionalFormatting>
  <conditionalFormatting sqref="C21:C30">
    <cfRule type="expression" dxfId="11" priority="10">
      <formula>C21&gt;=0.75</formula>
    </cfRule>
  </conditionalFormatting>
  <conditionalFormatting sqref="D30:D32">
    <cfRule type="expression" dxfId="10" priority="9">
      <formula>AND(D30&lt;&gt;"",D30&lt;0.25)</formula>
    </cfRule>
  </conditionalFormatting>
  <conditionalFormatting sqref="D30:D32">
    <cfRule type="expression" dxfId="9" priority="8">
      <formula>AND(D30&gt;=0.25,D30&lt;0.75)</formula>
    </cfRule>
  </conditionalFormatting>
  <conditionalFormatting sqref="D30:D32">
    <cfRule type="expression" dxfId="8" priority="7">
      <formula>D30&gt;=0.75</formula>
    </cfRule>
  </conditionalFormatting>
  <conditionalFormatting sqref="D21:D29">
    <cfRule type="expression" dxfId="7" priority="3">
      <formula>AND(D21&lt;&gt;"",D21&lt;0.25)</formula>
    </cfRule>
  </conditionalFormatting>
  <conditionalFormatting sqref="D21:D29">
    <cfRule type="expression" dxfId="6" priority="2">
      <formula>AND(D21&gt;=0.25,D21&lt;0.75)</formula>
    </cfRule>
  </conditionalFormatting>
  <conditionalFormatting sqref="D20">
    <cfRule type="expression" dxfId="5" priority="1">
      <formula>D20&gt;=0.75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ECE5E-2B73-4738-8F23-90215180BC22}">
  <sheetPr>
    <tabColor rgb="FF00B0F0"/>
  </sheetPr>
  <dimension ref="A1:S31"/>
  <sheetViews>
    <sheetView showGridLines="0" workbookViewId="0">
      <pane ySplit="1" topLeftCell="A9" activePane="bottomLeft" state="frozen"/>
      <selection pane="bottomLeft" activeCell="S2" sqref="S2"/>
    </sheetView>
  </sheetViews>
  <sheetFormatPr defaultRowHeight="15.75"/>
  <cols>
    <col min="1" max="1" width="8.42578125" style="73" bestFit="1" customWidth="1"/>
    <col min="2" max="2" width="11" style="73" bestFit="1" customWidth="1"/>
    <col min="3" max="3" width="17.7109375" style="73" bestFit="1" customWidth="1"/>
    <col min="4" max="4" width="12.140625" style="73" bestFit="1" customWidth="1"/>
    <col min="5" max="5" width="13.5703125" style="73" bestFit="1" customWidth="1"/>
    <col min="6" max="6" width="14.7109375" style="73" bestFit="1" customWidth="1"/>
    <col min="7" max="7" width="13.42578125" style="73" bestFit="1" customWidth="1"/>
    <col min="8" max="8" width="10" style="73" bestFit="1" customWidth="1"/>
    <col min="9" max="9" width="10.140625" style="73" bestFit="1" customWidth="1"/>
    <col min="10" max="10" width="10.42578125" style="73" bestFit="1" customWidth="1"/>
    <col min="11" max="11" width="9.85546875" style="73" bestFit="1" customWidth="1"/>
    <col min="12" max="12" width="8.7109375" style="73" bestFit="1" customWidth="1"/>
    <col min="13" max="13" width="8" style="73" bestFit="1" customWidth="1"/>
    <col min="14" max="14" width="5.7109375" style="73" bestFit="1" customWidth="1"/>
    <col min="15" max="15" width="6.140625" style="73" bestFit="1" customWidth="1"/>
    <col min="16" max="16" width="11.5703125" style="73" bestFit="1" customWidth="1"/>
    <col min="17" max="17" width="6.42578125" style="73" bestFit="1" customWidth="1"/>
    <col min="18" max="18" width="16.42578125" style="73" bestFit="1" customWidth="1"/>
    <col min="19" max="19" width="7.5703125" style="73" bestFit="1" customWidth="1"/>
    <col min="20" max="16384" width="9.140625" style="73"/>
  </cols>
  <sheetData>
    <row r="1" spans="1:19">
      <c r="A1" s="4" t="s">
        <v>65</v>
      </c>
      <c r="B1" s="71" t="s">
        <v>66</v>
      </c>
      <c r="C1" s="71" t="s">
        <v>1</v>
      </c>
      <c r="D1" s="71" t="s">
        <v>2</v>
      </c>
      <c r="E1" s="71" t="s">
        <v>3</v>
      </c>
      <c r="F1" s="71" t="s">
        <v>67</v>
      </c>
      <c r="G1" s="71" t="s">
        <v>68</v>
      </c>
      <c r="H1" s="71" t="s">
        <v>69</v>
      </c>
      <c r="I1" s="71" t="s">
        <v>70</v>
      </c>
      <c r="J1" s="71" t="s">
        <v>71</v>
      </c>
      <c r="K1" s="71" t="s">
        <v>72</v>
      </c>
      <c r="L1" s="71" t="s">
        <v>73</v>
      </c>
      <c r="M1" s="71" t="s">
        <v>74</v>
      </c>
      <c r="N1" s="71" t="s">
        <v>75</v>
      </c>
      <c r="O1" s="71" t="s">
        <v>76</v>
      </c>
      <c r="P1" s="71" t="s">
        <v>77</v>
      </c>
      <c r="Q1" s="71" t="s">
        <v>78</v>
      </c>
      <c r="R1" s="71" t="s">
        <v>79</v>
      </c>
      <c r="S1" s="72" t="s">
        <v>80</v>
      </c>
    </row>
    <row r="2" spans="1:19">
      <c r="A2" s="74" t="s">
        <v>81</v>
      </c>
      <c r="B2" s="75" t="s">
        <v>35</v>
      </c>
      <c r="C2" s="75" t="s">
        <v>36</v>
      </c>
      <c r="D2" s="75" t="s">
        <v>15</v>
      </c>
      <c r="E2" s="75" t="s">
        <v>82</v>
      </c>
      <c r="F2" s="75" t="s">
        <v>83</v>
      </c>
      <c r="G2" s="75" t="s">
        <v>84</v>
      </c>
      <c r="H2" s="76">
        <v>46267</v>
      </c>
      <c r="I2" s="77">
        <v>0.3</v>
      </c>
      <c r="J2" s="77">
        <v>0.30902777777777779</v>
      </c>
      <c r="K2" s="75">
        <v>80240</v>
      </c>
      <c r="L2" s="75">
        <v>32180</v>
      </c>
      <c r="M2" s="75">
        <f>K2-L2</f>
        <v>48060</v>
      </c>
      <c r="N2" s="75">
        <v>56.8</v>
      </c>
      <c r="O2" s="75">
        <v>14.7</v>
      </c>
      <c r="P2" s="75">
        <v>1.8</v>
      </c>
      <c r="Q2" s="75">
        <v>0.8</v>
      </c>
      <c r="R2" s="75">
        <f>IF($D2="Corn",
SUMIFS('Discount Schedules'!$I$6:$I$22,'Discount Schedules'!$F$6:$F$22,"Moisture",'Discount Schedules'!$G$6:$G$22,"&lt;="&amp;$O2,'Discount Schedules'!$H$6:$H$22,"&gt;="&amp;$O2)
+SUMIFS('Discount Schedules'!$I$6:$I$22,'Discount Schedules'!$F$6:$F$22,"Test Weight",'Discount Schedules'!$G$6:$G$22,"&lt;="&amp;$N2,'Discount Schedules'!$H$6:$H$22,"&gt;="&amp;$N2)
+SUMIFS('Discount Schedules'!$I$6:$I$22,'Discount Schedules'!$F$6:$F$22,"Damage",'Discount Schedules'!$G$6:$G$22,"&lt;="&amp;$P2,'Discount Schedules'!$H$6:$H$22,"&gt;="&amp;$P2)
+SUMIFS('Discount Schedules'!$I$6:$I$22,'Discount Schedules'!$F$6:$F$22,"FM",'Discount Schedules'!$G$6:$G$22,"&lt;="&amp;$Q2,'Discount Schedules'!$H$6:$H$22,"&gt;="&amp;$Q2),
IF($D2="Soybeans",
SUMIFS('Discount Schedules'!$N$6:$N$22,'Discount Schedules'!$K$6:$K$22,"Moisture",'Discount Schedules'!$L$6:$L$22,"&lt;="&amp;$O2,'Discount Schedules'!$M$6:$M$22,"&gt;="&amp;$O2)
+SUMIFS('Discount Schedules'!$N$6:$N$22,'Discount Schedules'!$K$6:$K$22,"Test Weight",'Discount Schedules'!$L$6:$L$22,"&lt;="&amp;$N2,'Discount Schedules'!$M$6:$M$22,"&gt;="&amp;$N2)
+SUMIFS('Discount Schedules'!$N$6:$N$22,'Discount Schedules'!$K$6:$K$22,"Damage",'Discount Schedules'!$L$6:$L$22,"&lt;="&amp;$P2,'Discount Schedules'!$M$6:$M$22,"&gt;="&amp;$P2)
+SUMIFS('Discount Schedules'!$N$6:$N$22,'Discount Schedules'!$K$6:$K$22,"FM",'Discount Schedules'!$L$6:$L$22,"&lt;="&amp;$Q2,'Discount Schedules'!$M$6:$M$22,"&gt;="&amp;$Q2),""))</f>
        <v>0</v>
      </c>
      <c r="S2" s="78">
        <f>IF(D2="Corn",ROUND(M2/56,0),ROUND(M2/60,0))</f>
        <v>858</v>
      </c>
    </row>
    <row r="3" spans="1:19">
      <c r="A3" s="79" t="s">
        <v>85</v>
      </c>
      <c r="B3" s="80" t="s">
        <v>21</v>
      </c>
      <c r="C3" s="80" t="s">
        <v>22</v>
      </c>
      <c r="D3" s="80" t="s">
        <v>15</v>
      </c>
      <c r="E3" s="80" t="s">
        <v>82</v>
      </c>
      <c r="F3" s="80" t="s">
        <v>86</v>
      </c>
      <c r="G3" s="80" t="s">
        <v>87</v>
      </c>
      <c r="H3" s="81">
        <v>46267</v>
      </c>
      <c r="I3" s="82">
        <v>0.31111111111111112</v>
      </c>
      <c r="J3" s="82">
        <v>0.32013888888888886</v>
      </c>
      <c r="K3" s="80">
        <v>78620</v>
      </c>
      <c r="L3" s="80">
        <v>31540</v>
      </c>
      <c r="M3" s="80">
        <f t="shared" ref="M3:M31" si="0">K3-L3</f>
        <v>47080</v>
      </c>
      <c r="N3" s="80">
        <v>56.1</v>
      </c>
      <c r="O3" s="80">
        <v>15.2</v>
      </c>
      <c r="P3" s="80">
        <v>2.2000000000000002</v>
      </c>
      <c r="Q3" s="80">
        <v>1.2</v>
      </c>
      <c r="R3" s="80">
        <f>IF($D3="Corn",
SUMIFS('Discount Schedules'!$I$6:$I$22,'Discount Schedules'!$F$6:$F$22,"Moisture",'Discount Schedules'!$G$6:$G$22,"&lt;="&amp;$O3,'Discount Schedules'!$H$6:$H$22,"&gt;="&amp;$O3)
+SUMIFS('Discount Schedules'!$I$6:$I$22,'Discount Schedules'!$F$6:$F$22,"Test Weight",'Discount Schedules'!$G$6:$G$22,"&lt;="&amp;$N3,'Discount Schedules'!$H$6:$H$22,"&gt;="&amp;$N3)
+SUMIFS('Discount Schedules'!$I$6:$I$22,'Discount Schedules'!$F$6:$F$22,"Damage",'Discount Schedules'!$G$6:$G$22,"&lt;="&amp;$P3,'Discount Schedules'!$H$6:$H$22,"&gt;="&amp;$P3)
+SUMIFS('Discount Schedules'!$I$6:$I$22,'Discount Schedules'!$F$6:$F$22,"FM",'Discount Schedules'!$G$6:$G$22,"&lt;="&amp;$Q3,'Discount Schedules'!$H$6:$H$22,"&gt;="&amp;$Q3),
IF($D3="Soybeans",
SUMIFS('Discount Schedules'!$N$6:$N$22,'Discount Schedules'!$K$6:$K$22,"Moisture",'Discount Schedules'!$L$6:$L$22,"&lt;="&amp;$O3,'Discount Schedules'!$M$6:$M$22,"&gt;="&amp;$O3)
+SUMIFS('Discount Schedules'!$N$6:$N$22,'Discount Schedules'!$K$6:$K$22,"Test Weight",'Discount Schedules'!$L$6:$L$22,"&lt;="&amp;$N3,'Discount Schedules'!$M$6:$M$22,"&gt;="&amp;$N3)
+SUMIFS('Discount Schedules'!$N$6:$N$22,'Discount Schedules'!$K$6:$K$22,"Damage",'Discount Schedules'!$L$6:$L$22,"&lt;="&amp;$P3,'Discount Schedules'!$M$6:$M$22,"&gt;="&amp;$P3)
+SUMIFS('Discount Schedules'!$N$6:$N$22,'Discount Schedules'!$K$6:$K$22,"FM",'Discount Schedules'!$L$6:$L$22,"&lt;="&amp;$Q3,'Discount Schedules'!$M$6:$M$22,"&gt;="&amp;$Q3),""))</f>
        <v>0.04</v>
      </c>
      <c r="S3" s="83">
        <f t="shared" ref="S3:S31" si="1">IF(D3="Corn",ROUND(M3/56,0),ROUND(M3/60,0))</f>
        <v>841</v>
      </c>
    </row>
    <row r="4" spans="1:19">
      <c r="A4" s="74" t="s">
        <v>88</v>
      </c>
      <c r="B4" s="75" t="s">
        <v>49</v>
      </c>
      <c r="C4" s="75" t="s">
        <v>50</v>
      </c>
      <c r="D4" s="75" t="s">
        <v>43</v>
      </c>
      <c r="E4" s="75" t="s">
        <v>82</v>
      </c>
      <c r="F4" s="75" t="s">
        <v>89</v>
      </c>
      <c r="G4" s="75" t="s">
        <v>90</v>
      </c>
      <c r="H4" s="76">
        <v>46267</v>
      </c>
      <c r="I4" s="77">
        <v>0.32013888888888886</v>
      </c>
      <c r="J4" s="77">
        <v>0.33055555555555555</v>
      </c>
      <c r="K4" s="75">
        <v>79280</v>
      </c>
      <c r="L4" s="75">
        <v>30220</v>
      </c>
      <c r="M4" s="75">
        <f t="shared" si="0"/>
        <v>49060</v>
      </c>
      <c r="N4" s="75">
        <v>58.4</v>
      </c>
      <c r="O4" s="75">
        <v>12.9</v>
      </c>
      <c r="P4" s="75">
        <v>1.5</v>
      </c>
      <c r="Q4" s="75">
        <v>0.7</v>
      </c>
      <c r="R4" s="75">
        <f>IF($D4="Corn",
SUMIFS('Discount Schedules'!$I$6:$I$22,'Discount Schedules'!$F$6:$F$22,"Moisture",'Discount Schedules'!$G$6:$G$22,"&lt;="&amp;$O4,'Discount Schedules'!$H$6:$H$22,"&gt;="&amp;$O4)
+SUMIFS('Discount Schedules'!$I$6:$I$22,'Discount Schedules'!$F$6:$F$22,"Test Weight",'Discount Schedules'!$G$6:$G$22,"&lt;="&amp;$N4,'Discount Schedules'!$H$6:$H$22,"&gt;="&amp;$N4)
+SUMIFS('Discount Schedules'!$I$6:$I$22,'Discount Schedules'!$F$6:$F$22,"Damage",'Discount Schedules'!$G$6:$G$22,"&lt;="&amp;$P4,'Discount Schedules'!$H$6:$H$22,"&gt;="&amp;$P4)
+SUMIFS('Discount Schedules'!$I$6:$I$22,'Discount Schedules'!$F$6:$F$22,"FM",'Discount Schedules'!$G$6:$G$22,"&lt;="&amp;$Q4,'Discount Schedules'!$H$6:$H$22,"&gt;="&amp;$Q4),
IF($D4="Soybeans",
SUMIFS('Discount Schedules'!$N$6:$N$22,'Discount Schedules'!$K$6:$K$22,"Moisture",'Discount Schedules'!$L$6:$L$22,"&lt;="&amp;$O4,'Discount Schedules'!$M$6:$M$22,"&gt;="&amp;$O4)
+SUMIFS('Discount Schedules'!$N$6:$N$22,'Discount Schedules'!$K$6:$K$22,"Test Weight",'Discount Schedules'!$L$6:$L$22,"&lt;="&amp;$N4,'Discount Schedules'!$M$6:$M$22,"&gt;="&amp;$N4)
+SUMIFS('Discount Schedules'!$N$6:$N$22,'Discount Schedules'!$K$6:$K$22,"Damage",'Discount Schedules'!$L$6:$L$22,"&lt;="&amp;$P4,'Discount Schedules'!$M$6:$M$22,"&gt;="&amp;$P4)
+SUMIFS('Discount Schedules'!$N$6:$N$22,'Discount Schedules'!$K$6:$K$22,"FM",'Discount Schedules'!$L$6:$L$22,"&lt;="&amp;$Q4,'Discount Schedules'!$M$6:$M$22,"&gt;="&amp;$Q4),""))</f>
        <v>0</v>
      </c>
      <c r="S4" s="78">
        <f t="shared" si="1"/>
        <v>818</v>
      </c>
    </row>
    <row r="5" spans="1:19">
      <c r="A5" s="79" t="s">
        <v>91</v>
      </c>
      <c r="B5" s="80" t="s">
        <v>35</v>
      </c>
      <c r="C5" s="80" t="s">
        <v>36</v>
      </c>
      <c r="D5" s="80" t="s">
        <v>15</v>
      </c>
      <c r="E5" s="80" t="s">
        <v>82</v>
      </c>
      <c r="F5" s="80" t="s">
        <v>83</v>
      </c>
      <c r="G5" s="80" t="s">
        <v>84</v>
      </c>
      <c r="H5" s="81">
        <v>46267</v>
      </c>
      <c r="I5" s="82">
        <v>0.33541666666666664</v>
      </c>
      <c r="J5" s="82">
        <v>0.34652777777777777</v>
      </c>
      <c r="K5" s="80">
        <v>80840</v>
      </c>
      <c r="L5" s="80">
        <v>32060</v>
      </c>
      <c r="M5" s="80">
        <f t="shared" si="0"/>
        <v>48780</v>
      </c>
      <c r="N5" s="80">
        <v>56.5</v>
      </c>
      <c r="O5" s="80">
        <v>14.4</v>
      </c>
      <c r="P5" s="80">
        <v>1.9</v>
      </c>
      <c r="Q5" s="80">
        <v>0.9</v>
      </c>
      <c r="R5" s="80">
        <f>IF($D5="Corn",
SUMIFS('Discount Schedules'!$I$6:$I$22,'Discount Schedules'!$F$6:$F$22,"Moisture",'Discount Schedules'!$G$6:$G$22,"&lt;="&amp;$O5,'Discount Schedules'!$H$6:$H$22,"&gt;="&amp;$O5)
+SUMIFS('Discount Schedules'!$I$6:$I$22,'Discount Schedules'!$F$6:$F$22,"Test Weight",'Discount Schedules'!$G$6:$G$22,"&lt;="&amp;$N5,'Discount Schedules'!$H$6:$H$22,"&gt;="&amp;$N5)
+SUMIFS('Discount Schedules'!$I$6:$I$22,'Discount Schedules'!$F$6:$F$22,"Damage",'Discount Schedules'!$G$6:$G$22,"&lt;="&amp;$P5,'Discount Schedules'!$H$6:$H$22,"&gt;="&amp;$P5)
+SUMIFS('Discount Schedules'!$I$6:$I$22,'Discount Schedules'!$F$6:$F$22,"FM",'Discount Schedules'!$G$6:$G$22,"&lt;="&amp;$Q5,'Discount Schedules'!$H$6:$H$22,"&gt;="&amp;$Q5),
IF($D5="Soybeans",
SUMIFS('Discount Schedules'!$N$6:$N$22,'Discount Schedules'!$K$6:$K$22,"Moisture",'Discount Schedules'!$L$6:$L$22,"&lt;="&amp;$O5,'Discount Schedules'!$M$6:$M$22,"&gt;="&amp;$O5)
+SUMIFS('Discount Schedules'!$N$6:$N$22,'Discount Schedules'!$K$6:$K$22,"Test Weight",'Discount Schedules'!$L$6:$L$22,"&lt;="&amp;$N5,'Discount Schedules'!$M$6:$M$22,"&gt;="&amp;$N5)
+SUMIFS('Discount Schedules'!$N$6:$N$22,'Discount Schedules'!$K$6:$K$22,"Damage",'Discount Schedules'!$L$6:$L$22,"&lt;="&amp;$P5,'Discount Schedules'!$M$6:$M$22,"&gt;="&amp;$P5)
+SUMIFS('Discount Schedules'!$N$6:$N$22,'Discount Schedules'!$K$6:$K$22,"FM",'Discount Schedules'!$L$6:$L$22,"&lt;="&amp;$Q5,'Discount Schedules'!$M$6:$M$22,"&gt;="&amp;$Q5),""))</f>
        <v>0</v>
      </c>
      <c r="S5" s="83">
        <f t="shared" si="1"/>
        <v>871</v>
      </c>
    </row>
    <row r="6" spans="1:19">
      <c r="A6" s="74" t="s">
        <v>92</v>
      </c>
      <c r="B6" s="75" t="s">
        <v>13</v>
      </c>
      <c r="C6" s="75" t="s">
        <v>14</v>
      </c>
      <c r="D6" s="75" t="s">
        <v>15</v>
      </c>
      <c r="E6" s="75" t="s">
        <v>82</v>
      </c>
      <c r="F6" s="75" t="s">
        <v>93</v>
      </c>
      <c r="G6" s="75" t="s">
        <v>94</v>
      </c>
      <c r="H6" s="76">
        <v>46267</v>
      </c>
      <c r="I6" s="77">
        <v>0.34513888888888888</v>
      </c>
      <c r="J6" s="77">
        <v>0.35555555555555557</v>
      </c>
      <c r="K6" s="75">
        <v>78120</v>
      </c>
      <c r="L6" s="75">
        <v>31040</v>
      </c>
      <c r="M6" s="75">
        <f t="shared" si="0"/>
        <v>47080</v>
      </c>
      <c r="N6" s="75">
        <v>55.8</v>
      </c>
      <c r="O6" s="75">
        <v>18.7</v>
      </c>
      <c r="P6" s="75">
        <v>54.2</v>
      </c>
      <c r="Q6" s="75">
        <v>1.1000000000000001</v>
      </c>
      <c r="R6" s="75">
        <f>IF($D6="Corn",
SUMIFS('Discount Schedules'!$I$6:$I$22,'Discount Schedules'!$F$6:$F$22,"Moisture",'Discount Schedules'!$G$6:$G$22,"&lt;="&amp;$O6,'Discount Schedules'!$H$6:$H$22,"&gt;="&amp;$O6)
+SUMIFS('Discount Schedules'!$I$6:$I$22,'Discount Schedules'!$F$6:$F$22,"Test Weight",'Discount Schedules'!$G$6:$G$22,"&lt;="&amp;$N6,'Discount Schedules'!$H$6:$H$22,"&gt;="&amp;$N6)
+SUMIFS('Discount Schedules'!$I$6:$I$22,'Discount Schedules'!$F$6:$F$22,"Damage",'Discount Schedules'!$G$6:$G$22,"&lt;="&amp;$P6,'Discount Schedules'!$H$6:$H$22,"&gt;="&amp;$P6)
+SUMIFS('Discount Schedules'!$I$6:$I$22,'Discount Schedules'!$F$6:$F$22,"FM",'Discount Schedules'!$G$6:$G$22,"&lt;="&amp;$Q6,'Discount Schedules'!$H$6:$H$22,"&gt;="&amp;$Q6),
IF($D6="Soybeans",
SUMIFS('Discount Schedules'!$N$6:$N$22,'Discount Schedules'!$K$6:$K$22,"Moisture",'Discount Schedules'!$L$6:$L$22,"&lt;="&amp;$O6,'Discount Schedules'!$M$6:$M$22,"&gt;="&amp;$O6)
+SUMIFS('Discount Schedules'!$N$6:$N$22,'Discount Schedules'!$K$6:$K$22,"Test Weight",'Discount Schedules'!$L$6:$L$22,"&lt;="&amp;$N6,'Discount Schedules'!$M$6:$M$22,"&gt;="&amp;$N6)
+SUMIFS('Discount Schedules'!$N$6:$N$22,'Discount Schedules'!$K$6:$K$22,"Damage",'Discount Schedules'!$L$6:$L$22,"&lt;="&amp;$P6,'Discount Schedules'!$M$6:$M$22,"&gt;="&amp;$P6)
+SUMIFS('Discount Schedules'!$N$6:$N$22,'Discount Schedules'!$K$6:$K$22,"FM",'Discount Schedules'!$L$6:$L$22,"&lt;="&amp;$Q6,'Discount Schedules'!$M$6:$M$22,"&gt;="&amp;$Q6),""))</f>
        <v>0.39</v>
      </c>
      <c r="S6" s="78">
        <f t="shared" si="1"/>
        <v>841</v>
      </c>
    </row>
    <row r="7" spans="1:19">
      <c r="A7" s="79" t="s">
        <v>95</v>
      </c>
      <c r="B7" s="80" t="s">
        <v>39</v>
      </c>
      <c r="C7" s="80" t="s">
        <v>96</v>
      </c>
      <c r="D7" s="80" t="s">
        <v>15</v>
      </c>
      <c r="E7" s="80" t="s">
        <v>82</v>
      </c>
      <c r="F7" s="80" t="s">
        <v>97</v>
      </c>
      <c r="G7" s="80" t="s">
        <v>98</v>
      </c>
      <c r="H7" s="81">
        <v>46267</v>
      </c>
      <c r="I7" s="82">
        <v>0.35694444444444445</v>
      </c>
      <c r="J7" s="82">
        <v>0.36805555555555558</v>
      </c>
      <c r="K7" s="80">
        <v>80460</v>
      </c>
      <c r="L7" s="80">
        <v>31860</v>
      </c>
      <c r="M7" s="80">
        <f t="shared" si="0"/>
        <v>48600</v>
      </c>
      <c r="N7" s="80">
        <v>56.9</v>
      </c>
      <c r="O7" s="80">
        <v>14.8</v>
      </c>
      <c r="P7" s="80">
        <v>1.7</v>
      </c>
      <c r="Q7" s="80">
        <v>0.6</v>
      </c>
      <c r="R7" s="80">
        <f>IF($D7="Corn",
SUMIFS('Discount Schedules'!$I$6:$I$22,'Discount Schedules'!$F$6:$F$22,"Moisture",'Discount Schedules'!$G$6:$G$22,"&lt;="&amp;$O7,'Discount Schedules'!$H$6:$H$22,"&gt;="&amp;$O7)
+SUMIFS('Discount Schedules'!$I$6:$I$22,'Discount Schedules'!$F$6:$F$22,"Test Weight",'Discount Schedules'!$G$6:$G$22,"&lt;="&amp;$N7,'Discount Schedules'!$H$6:$H$22,"&gt;="&amp;$N7)
+SUMIFS('Discount Schedules'!$I$6:$I$22,'Discount Schedules'!$F$6:$F$22,"Damage",'Discount Schedules'!$G$6:$G$22,"&lt;="&amp;$P7,'Discount Schedules'!$H$6:$H$22,"&gt;="&amp;$P7)
+SUMIFS('Discount Schedules'!$I$6:$I$22,'Discount Schedules'!$F$6:$F$22,"FM",'Discount Schedules'!$G$6:$G$22,"&lt;="&amp;$Q7,'Discount Schedules'!$H$6:$H$22,"&gt;="&amp;$Q7),
IF($D7="Soybeans",
SUMIFS('Discount Schedules'!$N$6:$N$22,'Discount Schedules'!$K$6:$K$22,"Moisture",'Discount Schedules'!$L$6:$L$22,"&lt;="&amp;$O7,'Discount Schedules'!$M$6:$M$22,"&gt;="&amp;$O7)
+SUMIFS('Discount Schedules'!$N$6:$N$22,'Discount Schedules'!$K$6:$K$22,"Test Weight",'Discount Schedules'!$L$6:$L$22,"&lt;="&amp;$N7,'Discount Schedules'!$M$6:$M$22,"&gt;="&amp;$N7)
+SUMIFS('Discount Schedules'!$N$6:$N$22,'Discount Schedules'!$K$6:$K$22,"Damage",'Discount Schedules'!$L$6:$L$22,"&lt;="&amp;$P7,'Discount Schedules'!$M$6:$M$22,"&gt;="&amp;$P7)
+SUMIFS('Discount Schedules'!$N$6:$N$22,'Discount Schedules'!$K$6:$K$22,"FM",'Discount Schedules'!$L$6:$L$22,"&lt;="&amp;$Q7,'Discount Schedules'!$M$6:$M$22,"&gt;="&amp;$Q7),""))</f>
        <v>0</v>
      </c>
      <c r="S7" s="83">
        <f t="shared" si="1"/>
        <v>868</v>
      </c>
    </row>
    <row r="8" spans="1:19">
      <c r="A8" s="74" t="s">
        <v>99</v>
      </c>
      <c r="B8" s="75" t="s">
        <v>54</v>
      </c>
      <c r="C8" s="75" t="s">
        <v>55</v>
      </c>
      <c r="D8" s="75" t="s">
        <v>43</v>
      </c>
      <c r="E8" s="75" t="s">
        <v>82</v>
      </c>
      <c r="F8" s="75" t="s">
        <v>89</v>
      </c>
      <c r="G8" s="75" t="s">
        <v>90</v>
      </c>
      <c r="H8" s="76">
        <v>46267</v>
      </c>
      <c r="I8" s="77">
        <v>0.36736111111111114</v>
      </c>
      <c r="J8" s="77">
        <v>0.37986111111111109</v>
      </c>
      <c r="K8" s="75">
        <v>79820</v>
      </c>
      <c r="L8" s="75">
        <v>30120</v>
      </c>
      <c r="M8" s="75">
        <f t="shared" si="0"/>
        <v>49700</v>
      </c>
      <c r="N8" s="75">
        <v>58.1</v>
      </c>
      <c r="O8" s="75">
        <v>13.2</v>
      </c>
      <c r="P8" s="75">
        <v>1.4</v>
      </c>
      <c r="Q8" s="75">
        <v>0.8</v>
      </c>
      <c r="R8" s="75">
        <f>IF($D8="Corn",
SUMIFS('Discount Schedules'!$I$6:$I$22,'Discount Schedules'!$F$6:$F$22,"Moisture",'Discount Schedules'!$G$6:$G$22,"&lt;="&amp;$O8,'Discount Schedules'!$H$6:$H$22,"&gt;="&amp;$O8)
+SUMIFS('Discount Schedules'!$I$6:$I$22,'Discount Schedules'!$F$6:$F$22,"Test Weight",'Discount Schedules'!$G$6:$G$22,"&lt;="&amp;$N8,'Discount Schedules'!$H$6:$H$22,"&gt;="&amp;$N8)
+SUMIFS('Discount Schedules'!$I$6:$I$22,'Discount Schedules'!$F$6:$F$22,"Damage",'Discount Schedules'!$G$6:$G$22,"&lt;="&amp;$P8,'Discount Schedules'!$H$6:$H$22,"&gt;="&amp;$P8)
+SUMIFS('Discount Schedules'!$I$6:$I$22,'Discount Schedules'!$F$6:$F$22,"FM",'Discount Schedules'!$G$6:$G$22,"&lt;="&amp;$Q8,'Discount Schedules'!$H$6:$H$22,"&gt;="&amp;$Q8),
IF($D8="Soybeans",
SUMIFS('Discount Schedules'!$N$6:$N$22,'Discount Schedules'!$K$6:$K$22,"Moisture",'Discount Schedules'!$L$6:$L$22,"&lt;="&amp;$O8,'Discount Schedules'!$M$6:$M$22,"&gt;="&amp;$O8)
+SUMIFS('Discount Schedules'!$N$6:$N$22,'Discount Schedules'!$K$6:$K$22,"Test Weight",'Discount Schedules'!$L$6:$L$22,"&lt;="&amp;$N8,'Discount Schedules'!$M$6:$M$22,"&gt;="&amp;$N8)
+SUMIFS('Discount Schedules'!$N$6:$N$22,'Discount Schedules'!$K$6:$K$22,"Damage",'Discount Schedules'!$L$6:$L$22,"&lt;="&amp;$P8,'Discount Schedules'!$M$6:$M$22,"&gt;="&amp;$P8)
+SUMIFS('Discount Schedules'!$N$6:$N$22,'Discount Schedules'!$K$6:$K$22,"FM",'Discount Schedules'!$L$6:$L$22,"&lt;="&amp;$Q8,'Discount Schedules'!$M$6:$M$22,"&gt;="&amp;$Q8),""))</f>
        <v>0.01</v>
      </c>
      <c r="S8" s="78">
        <f t="shared" si="1"/>
        <v>828</v>
      </c>
    </row>
    <row r="9" spans="1:19">
      <c r="A9" s="79" t="s">
        <v>100</v>
      </c>
      <c r="B9" s="80" t="s">
        <v>21</v>
      </c>
      <c r="C9" s="80" t="s">
        <v>22</v>
      </c>
      <c r="D9" s="80" t="s">
        <v>15</v>
      </c>
      <c r="E9" s="80" t="s">
        <v>82</v>
      </c>
      <c r="F9" s="80" t="s">
        <v>86</v>
      </c>
      <c r="G9" s="80" t="s">
        <v>87</v>
      </c>
      <c r="H9" s="81">
        <v>46267</v>
      </c>
      <c r="I9" s="82">
        <v>0.37638888888888888</v>
      </c>
      <c r="J9" s="82">
        <v>0.38750000000000001</v>
      </c>
      <c r="K9" s="80">
        <v>79060</v>
      </c>
      <c r="L9" s="80">
        <v>31560</v>
      </c>
      <c r="M9" s="80">
        <f t="shared" si="0"/>
        <v>47500</v>
      </c>
      <c r="N9" s="80">
        <v>56</v>
      </c>
      <c r="O9" s="80">
        <v>15.4</v>
      </c>
      <c r="P9" s="80">
        <v>2.2999999999999998</v>
      </c>
      <c r="Q9" s="80">
        <v>1.3</v>
      </c>
      <c r="R9" s="80">
        <f>IF($D9="Corn",
SUMIFS('Discount Schedules'!$I$6:$I$22,'Discount Schedules'!$F$6:$F$22,"Moisture",'Discount Schedules'!$G$6:$G$22,"&lt;="&amp;$O9,'Discount Schedules'!$H$6:$H$22,"&gt;="&amp;$O9)
+SUMIFS('Discount Schedules'!$I$6:$I$22,'Discount Schedules'!$F$6:$F$22,"Test Weight",'Discount Schedules'!$G$6:$G$22,"&lt;="&amp;$N9,'Discount Schedules'!$H$6:$H$22,"&gt;="&amp;$N9)
+SUMIFS('Discount Schedules'!$I$6:$I$22,'Discount Schedules'!$F$6:$F$22,"Damage",'Discount Schedules'!$G$6:$G$22,"&lt;="&amp;$P9,'Discount Schedules'!$H$6:$H$22,"&gt;="&amp;$P9)
+SUMIFS('Discount Schedules'!$I$6:$I$22,'Discount Schedules'!$F$6:$F$22,"FM",'Discount Schedules'!$G$6:$G$22,"&lt;="&amp;$Q9,'Discount Schedules'!$H$6:$H$22,"&gt;="&amp;$Q9),
IF($D9="Soybeans",
SUMIFS('Discount Schedules'!$N$6:$N$22,'Discount Schedules'!$K$6:$K$22,"Moisture",'Discount Schedules'!$L$6:$L$22,"&lt;="&amp;$O9,'Discount Schedules'!$M$6:$M$22,"&gt;="&amp;$O9)
+SUMIFS('Discount Schedules'!$N$6:$N$22,'Discount Schedules'!$K$6:$K$22,"Test Weight",'Discount Schedules'!$L$6:$L$22,"&lt;="&amp;$N9,'Discount Schedules'!$M$6:$M$22,"&gt;="&amp;$N9)
+SUMIFS('Discount Schedules'!$N$6:$N$22,'Discount Schedules'!$K$6:$K$22,"Damage",'Discount Schedules'!$L$6:$L$22,"&lt;="&amp;$P9,'Discount Schedules'!$M$6:$M$22,"&gt;="&amp;$P9)
+SUMIFS('Discount Schedules'!$N$6:$N$22,'Discount Schedules'!$K$6:$K$22,"FM",'Discount Schedules'!$L$6:$L$22,"&lt;="&amp;$Q9,'Discount Schedules'!$M$6:$M$22,"&gt;="&amp;$Q9),""))</f>
        <v>0.04</v>
      </c>
      <c r="S9" s="83">
        <f t="shared" si="1"/>
        <v>848</v>
      </c>
    </row>
    <row r="10" spans="1:19">
      <c r="A10" s="74" t="s">
        <v>101</v>
      </c>
      <c r="B10" s="75" t="s">
        <v>35</v>
      </c>
      <c r="C10" s="75" t="s">
        <v>36</v>
      </c>
      <c r="D10" s="75" t="s">
        <v>15</v>
      </c>
      <c r="E10" s="75" t="s">
        <v>82</v>
      </c>
      <c r="F10" s="75" t="s">
        <v>83</v>
      </c>
      <c r="G10" s="75" t="s">
        <v>84</v>
      </c>
      <c r="H10" s="76">
        <v>46267</v>
      </c>
      <c r="I10" s="77">
        <v>0.38958333333333334</v>
      </c>
      <c r="J10" s="77">
        <v>0.39930555555555558</v>
      </c>
      <c r="K10" s="75">
        <v>81240</v>
      </c>
      <c r="L10" s="75">
        <v>32320</v>
      </c>
      <c r="M10" s="75">
        <f t="shared" si="0"/>
        <v>48920</v>
      </c>
      <c r="N10" s="75">
        <v>56.7</v>
      </c>
      <c r="O10" s="75">
        <v>14.6</v>
      </c>
      <c r="P10" s="75">
        <v>1.8</v>
      </c>
      <c r="Q10" s="75">
        <v>0.9</v>
      </c>
      <c r="R10" s="75">
        <f>IF($D10="Corn",
SUMIFS('Discount Schedules'!$I$6:$I$22,'Discount Schedules'!$F$6:$F$22,"Moisture",'Discount Schedules'!$G$6:$G$22,"&lt;="&amp;$O10,'Discount Schedules'!$H$6:$H$22,"&gt;="&amp;$O10)
+SUMIFS('Discount Schedules'!$I$6:$I$22,'Discount Schedules'!$F$6:$F$22,"Test Weight",'Discount Schedules'!$G$6:$G$22,"&lt;="&amp;$N10,'Discount Schedules'!$H$6:$H$22,"&gt;="&amp;$N10)
+SUMIFS('Discount Schedules'!$I$6:$I$22,'Discount Schedules'!$F$6:$F$22,"Damage",'Discount Schedules'!$G$6:$G$22,"&lt;="&amp;$P10,'Discount Schedules'!$H$6:$H$22,"&gt;="&amp;$P10)
+SUMIFS('Discount Schedules'!$I$6:$I$22,'Discount Schedules'!$F$6:$F$22,"FM",'Discount Schedules'!$G$6:$G$22,"&lt;="&amp;$Q10,'Discount Schedules'!$H$6:$H$22,"&gt;="&amp;$Q10),
IF($D10="Soybeans",
SUMIFS('Discount Schedules'!$N$6:$N$22,'Discount Schedules'!$K$6:$K$22,"Moisture",'Discount Schedules'!$L$6:$L$22,"&lt;="&amp;$O10,'Discount Schedules'!$M$6:$M$22,"&gt;="&amp;$O10)
+SUMIFS('Discount Schedules'!$N$6:$N$22,'Discount Schedules'!$K$6:$K$22,"Test Weight",'Discount Schedules'!$L$6:$L$22,"&lt;="&amp;$N10,'Discount Schedules'!$M$6:$M$22,"&gt;="&amp;$N10)
+SUMIFS('Discount Schedules'!$N$6:$N$22,'Discount Schedules'!$K$6:$K$22,"Damage",'Discount Schedules'!$L$6:$L$22,"&lt;="&amp;$P10,'Discount Schedules'!$M$6:$M$22,"&gt;="&amp;$P10)
+SUMIFS('Discount Schedules'!$N$6:$N$22,'Discount Schedules'!$K$6:$K$22,"FM",'Discount Schedules'!$L$6:$L$22,"&lt;="&amp;$Q10,'Discount Schedules'!$M$6:$M$22,"&gt;="&amp;$Q10),""))</f>
        <v>0</v>
      </c>
      <c r="S10" s="78">
        <f t="shared" si="1"/>
        <v>874</v>
      </c>
    </row>
    <row r="11" spans="1:19">
      <c r="A11" s="79" t="s">
        <v>102</v>
      </c>
      <c r="B11" s="80" t="s">
        <v>28</v>
      </c>
      <c r="C11" s="80" t="s">
        <v>29</v>
      </c>
      <c r="D11" s="80" t="s">
        <v>15</v>
      </c>
      <c r="E11" s="80" t="s">
        <v>82</v>
      </c>
      <c r="F11" s="80" t="s">
        <v>93</v>
      </c>
      <c r="G11" s="80" t="s">
        <v>94</v>
      </c>
      <c r="H11" s="81">
        <v>46267</v>
      </c>
      <c r="I11" s="82">
        <v>0.40069444444444446</v>
      </c>
      <c r="J11" s="82">
        <v>0.41041666666666665</v>
      </c>
      <c r="K11" s="80">
        <v>77520</v>
      </c>
      <c r="L11" s="80">
        <v>30940</v>
      </c>
      <c r="M11" s="80">
        <f t="shared" si="0"/>
        <v>46580</v>
      </c>
      <c r="N11" s="80">
        <v>55.5</v>
      </c>
      <c r="O11" s="80">
        <v>15.7</v>
      </c>
      <c r="P11" s="80">
        <v>55.5</v>
      </c>
      <c r="Q11" s="80">
        <v>1.5</v>
      </c>
      <c r="R11" s="80">
        <f>IF($D11="Corn",
SUMIFS('Discount Schedules'!$I$6:$I$22,'Discount Schedules'!$F$6:$F$22,"Moisture",'Discount Schedules'!$G$6:$G$22,"&lt;="&amp;$O11,'Discount Schedules'!$H$6:$H$22,"&gt;="&amp;$O11)
+SUMIFS('Discount Schedules'!$I$6:$I$22,'Discount Schedules'!$F$6:$F$22,"Test Weight",'Discount Schedules'!$G$6:$G$22,"&lt;="&amp;$N11,'Discount Schedules'!$H$6:$H$22,"&gt;="&amp;$N11)
+SUMIFS('Discount Schedules'!$I$6:$I$22,'Discount Schedules'!$F$6:$F$22,"Damage",'Discount Schedules'!$G$6:$G$22,"&lt;="&amp;$P11,'Discount Schedules'!$H$6:$H$22,"&gt;="&amp;$P11)
+SUMIFS('Discount Schedules'!$I$6:$I$22,'Discount Schedules'!$F$6:$F$22,"FM",'Discount Schedules'!$G$6:$G$22,"&lt;="&amp;$Q11,'Discount Schedules'!$H$6:$H$22,"&gt;="&amp;$Q11),
IF($D11="Soybeans",
SUMIFS('Discount Schedules'!$N$6:$N$22,'Discount Schedules'!$K$6:$K$22,"Moisture",'Discount Schedules'!$L$6:$L$22,"&lt;="&amp;$O11,'Discount Schedules'!$M$6:$M$22,"&gt;="&amp;$O11)
+SUMIFS('Discount Schedules'!$N$6:$N$22,'Discount Schedules'!$K$6:$K$22,"Test Weight",'Discount Schedules'!$L$6:$L$22,"&lt;="&amp;$N11,'Discount Schedules'!$M$6:$M$22,"&gt;="&amp;$N11)
+SUMIFS('Discount Schedules'!$N$6:$N$22,'Discount Schedules'!$K$6:$K$22,"Damage",'Discount Schedules'!$L$6:$L$22,"&lt;="&amp;$P11,'Discount Schedules'!$M$6:$M$22,"&gt;="&amp;$P11)
+SUMIFS('Discount Schedules'!$N$6:$N$22,'Discount Schedules'!$K$6:$K$22,"FM",'Discount Schedules'!$L$6:$L$22,"&lt;="&amp;$Q11,'Discount Schedules'!$M$6:$M$22,"&gt;="&amp;$Q11),""))</f>
        <v>0.29000000000000004</v>
      </c>
      <c r="S11" s="83">
        <f t="shared" si="1"/>
        <v>832</v>
      </c>
    </row>
    <row r="12" spans="1:19">
      <c r="A12" s="74" t="s">
        <v>103</v>
      </c>
      <c r="B12" s="75" t="s">
        <v>49</v>
      </c>
      <c r="C12" s="75" t="s">
        <v>50</v>
      </c>
      <c r="D12" s="75" t="s">
        <v>43</v>
      </c>
      <c r="E12" s="75" t="s">
        <v>82</v>
      </c>
      <c r="F12" s="75" t="s">
        <v>89</v>
      </c>
      <c r="G12" s="75" t="s">
        <v>90</v>
      </c>
      <c r="H12" s="76">
        <v>46267</v>
      </c>
      <c r="I12" s="77">
        <v>0.41249999999999998</v>
      </c>
      <c r="J12" s="77">
        <v>0.4236111111111111</v>
      </c>
      <c r="K12" s="75">
        <v>79460</v>
      </c>
      <c r="L12" s="75">
        <v>30240</v>
      </c>
      <c r="M12" s="75">
        <f t="shared" si="0"/>
        <v>49220</v>
      </c>
      <c r="N12" s="75">
        <v>58.3</v>
      </c>
      <c r="O12" s="75">
        <v>13.4</v>
      </c>
      <c r="P12" s="75">
        <v>1.2</v>
      </c>
      <c r="Q12" s="75">
        <v>0.7</v>
      </c>
      <c r="R12" s="75">
        <f>IF($D12="Corn",
SUMIFS('Discount Schedules'!$I$6:$I$22,'Discount Schedules'!$F$6:$F$22,"Moisture",'Discount Schedules'!$G$6:$G$22,"&lt;="&amp;$O12,'Discount Schedules'!$H$6:$H$22,"&gt;="&amp;$O12)
+SUMIFS('Discount Schedules'!$I$6:$I$22,'Discount Schedules'!$F$6:$F$22,"Test Weight",'Discount Schedules'!$G$6:$G$22,"&lt;="&amp;$N12,'Discount Schedules'!$H$6:$H$22,"&gt;="&amp;$N12)
+SUMIFS('Discount Schedules'!$I$6:$I$22,'Discount Schedules'!$F$6:$F$22,"Damage",'Discount Schedules'!$G$6:$G$22,"&lt;="&amp;$P12,'Discount Schedules'!$H$6:$H$22,"&gt;="&amp;$P12)
+SUMIFS('Discount Schedules'!$I$6:$I$22,'Discount Schedules'!$F$6:$F$22,"FM",'Discount Schedules'!$G$6:$G$22,"&lt;="&amp;$Q12,'Discount Schedules'!$H$6:$H$22,"&gt;="&amp;$Q12),
IF($D12="Soybeans",
SUMIFS('Discount Schedules'!$N$6:$N$22,'Discount Schedules'!$K$6:$K$22,"Moisture",'Discount Schedules'!$L$6:$L$22,"&lt;="&amp;$O12,'Discount Schedules'!$M$6:$M$22,"&gt;="&amp;$O12)
+SUMIFS('Discount Schedules'!$N$6:$N$22,'Discount Schedules'!$K$6:$K$22,"Test Weight",'Discount Schedules'!$L$6:$L$22,"&lt;="&amp;$N12,'Discount Schedules'!$M$6:$M$22,"&gt;="&amp;$N12)
+SUMIFS('Discount Schedules'!$N$6:$N$22,'Discount Schedules'!$K$6:$K$22,"Damage",'Discount Schedules'!$L$6:$L$22,"&lt;="&amp;$P12,'Discount Schedules'!$M$6:$M$22,"&gt;="&amp;$P12)
+SUMIFS('Discount Schedules'!$N$6:$N$22,'Discount Schedules'!$K$6:$K$22,"FM",'Discount Schedules'!$L$6:$L$22,"&lt;="&amp;$Q12,'Discount Schedules'!$M$6:$M$22,"&gt;="&amp;$Q12),""))</f>
        <v>0.01</v>
      </c>
      <c r="S12" s="78">
        <f t="shared" si="1"/>
        <v>820</v>
      </c>
    </row>
    <row r="13" spans="1:19">
      <c r="A13" s="79" t="s">
        <v>104</v>
      </c>
      <c r="B13" s="80" t="s">
        <v>39</v>
      </c>
      <c r="C13" s="80" t="s">
        <v>96</v>
      </c>
      <c r="D13" s="80" t="s">
        <v>15</v>
      </c>
      <c r="E13" s="80" t="s">
        <v>82</v>
      </c>
      <c r="F13" s="80" t="s">
        <v>97</v>
      </c>
      <c r="G13" s="80" t="s">
        <v>98</v>
      </c>
      <c r="H13" s="81">
        <v>46267</v>
      </c>
      <c r="I13" s="82">
        <v>0.42222222222222222</v>
      </c>
      <c r="J13" s="82">
        <v>0.43194444444444446</v>
      </c>
      <c r="K13" s="80">
        <v>80780</v>
      </c>
      <c r="L13" s="80">
        <v>31880</v>
      </c>
      <c r="M13" s="80">
        <f t="shared" si="0"/>
        <v>48900</v>
      </c>
      <c r="N13" s="80">
        <v>56.8</v>
      </c>
      <c r="O13" s="80">
        <v>14.9</v>
      </c>
      <c r="P13" s="80">
        <v>1.7</v>
      </c>
      <c r="Q13" s="80">
        <v>0.8</v>
      </c>
      <c r="R13" s="80">
        <f>IF($D13="Corn",
SUMIFS('Discount Schedules'!$I$6:$I$22,'Discount Schedules'!$F$6:$F$22,"Moisture",'Discount Schedules'!$G$6:$G$22,"&lt;="&amp;$O13,'Discount Schedules'!$H$6:$H$22,"&gt;="&amp;$O13)
+SUMIFS('Discount Schedules'!$I$6:$I$22,'Discount Schedules'!$F$6:$F$22,"Test Weight",'Discount Schedules'!$G$6:$G$22,"&lt;="&amp;$N13,'Discount Schedules'!$H$6:$H$22,"&gt;="&amp;$N13)
+SUMIFS('Discount Schedules'!$I$6:$I$22,'Discount Schedules'!$F$6:$F$22,"Damage",'Discount Schedules'!$G$6:$G$22,"&lt;="&amp;$P13,'Discount Schedules'!$H$6:$H$22,"&gt;="&amp;$P13)
+SUMIFS('Discount Schedules'!$I$6:$I$22,'Discount Schedules'!$F$6:$F$22,"FM",'Discount Schedules'!$G$6:$G$22,"&lt;="&amp;$Q13,'Discount Schedules'!$H$6:$H$22,"&gt;="&amp;$Q13),
IF($D13="Soybeans",
SUMIFS('Discount Schedules'!$N$6:$N$22,'Discount Schedules'!$K$6:$K$22,"Moisture",'Discount Schedules'!$L$6:$L$22,"&lt;="&amp;$O13,'Discount Schedules'!$M$6:$M$22,"&gt;="&amp;$O13)
+SUMIFS('Discount Schedules'!$N$6:$N$22,'Discount Schedules'!$K$6:$K$22,"Test Weight",'Discount Schedules'!$L$6:$L$22,"&lt;="&amp;$N13,'Discount Schedules'!$M$6:$M$22,"&gt;="&amp;$N13)
+SUMIFS('Discount Schedules'!$N$6:$N$22,'Discount Schedules'!$K$6:$K$22,"Damage",'Discount Schedules'!$L$6:$L$22,"&lt;="&amp;$P13,'Discount Schedules'!$M$6:$M$22,"&gt;="&amp;$P13)
+SUMIFS('Discount Schedules'!$N$6:$N$22,'Discount Schedules'!$K$6:$K$22,"FM",'Discount Schedules'!$L$6:$L$22,"&lt;="&amp;$Q13,'Discount Schedules'!$M$6:$M$22,"&gt;="&amp;$Q13),""))</f>
        <v>0</v>
      </c>
      <c r="S13" s="83">
        <f t="shared" si="1"/>
        <v>873</v>
      </c>
    </row>
    <row r="14" spans="1:19">
      <c r="A14" s="74" t="s">
        <v>105</v>
      </c>
      <c r="B14" s="75" t="s">
        <v>54</v>
      </c>
      <c r="C14" s="75" t="s">
        <v>55</v>
      </c>
      <c r="D14" s="75" t="s">
        <v>43</v>
      </c>
      <c r="E14" s="75" t="s">
        <v>82</v>
      </c>
      <c r="F14" s="75" t="s">
        <v>89</v>
      </c>
      <c r="G14" s="75" t="s">
        <v>90</v>
      </c>
      <c r="H14" s="76">
        <v>46267</v>
      </c>
      <c r="I14" s="77">
        <v>0.43541666666666667</v>
      </c>
      <c r="J14" s="77">
        <v>0.44374999999999998</v>
      </c>
      <c r="K14" s="75">
        <v>79940</v>
      </c>
      <c r="L14" s="75">
        <v>30320</v>
      </c>
      <c r="M14" s="75">
        <f t="shared" si="0"/>
        <v>49620</v>
      </c>
      <c r="N14" s="75">
        <v>58</v>
      </c>
      <c r="O14" s="75">
        <v>13.3</v>
      </c>
      <c r="P14" s="75">
        <v>1.5</v>
      </c>
      <c r="Q14" s="75">
        <v>0.8</v>
      </c>
      <c r="R14" s="75">
        <f>IF($D14="Corn",
SUMIFS('Discount Schedules'!$I$6:$I$22,'Discount Schedules'!$F$6:$F$22,"Moisture",'Discount Schedules'!$G$6:$G$22,"&lt;="&amp;$O14,'Discount Schedules'!$H$6:$H$22,"&gt;="&amp;$O14)
+SUMIFS('Discount Schedules'!$I$6:$I$22,'Discount Schedules'!$F$6:$F$22,"Test Weight",'Discount Schedules'!$G$6:$G$22,"&lt;="&amp;$N14,'Discount Schedules'!$H$6:$H$22,"&gt;="&amp;$N14)
+SUMIFS('Discount Schedules'!$I$6:$I$22,'Discount Schedules'!$F$6:$F$22,"Damage",'Discount Schedules'!$G$6:$G$22,"&lt;="&amp;$P14,'Discount Schedules'!$H$6:$H$22,"&gt;="&amp;$P14)
+SUMIFS('Discount Schedules'!$I$6:$I$22,'Discount Schedules'!$F$6:$F$22,"FM",'Discount Schedules'!$G$6:$G$22,"&lt;="&amp;$Q14,'Discount Schedules'!$H$6:$H$22,"&gt;="&amp;$Q14),
IF($D14="Soybeans",
SUMIFS('Discount Schedules'!$N$6:$N$22,'Discount Schedules'!$K$6:$K$22,"Moisture",'Discount Schedules'!$L$6:$L$22,"&lt;="&amp;$O14,'Discount Schedules'!$M$6:$M$22,"&gt;="&amp;$O14)
+SUMIFS('Discount Schedules'!$N$6:$N$22,'Discount Schedules'!$K$6:$K$22,"Test Weight",'Discount Schedules'!$L$6:$L$22,"&lt;="&amp;$N14,'Discount Schedules'!$M$6:$M$22,"&gt;="&amp;$N14)
+SUMIFS('Discount Schedules'!$N$6:$N$22,'Discount Schedules'!$K$6:$K$22,"Damage",'Discount Schedules'!$L$6:$L$22,"&lt;="&amp;$P14,'Discount Schedules'!$M$6:$M$22,"&gt;="&amp;$P14)
+SUMIFS('Discount Schedules'!$N$6:$N$22,'Discount Schedules'!$K$6:$K$22,"FM",'Discount Schedules'!$L$6:$L$22,"&lt;="&amp;$Q14,'Discount Schedules'!$M$6:$M$22,"&gt;="&amp;$Q14),""))</f>
        <v>0.01</v>
      </c>
      <c r="S14" s="78">
        <f t="shared" si="1"/>
        <v>827</v>
      </c>
    </row>
    <row r="15" spans="1:19">
      <c r="A15" s="79" t="s">
        <v>106</v>
      </c>
      <c r="B15" s="80" t="s">
        <v>21</v>
      </c>
      <c r="C15" s="80" t="s">
        <v>22</v>
      </c>
      <c r="D15" s="80" t="s">
        <v>15</v>
      </c>
      <c r="E15" s="80" t="s">
        <v>82</v>
      </c>
      <c r="F15" s="80" t="s">
        <v>86</v>
      </c>
      <c r="G15" s="80" t="s">
        <v>87</v>
      </c>
      <c r="H15" s="81">
        <v>46267</v>
      </c>
      <c r="I15" s="82">
        <v>0.44583333333333336</v>
      </c>
      <c r="J15" s="82">
        <v>0.45624999999999999</v>
      </c>
      <c r="K15" s="80">
        <v>78480</v>
      </c>
      <c r="L15" s="80">
        <v>31480</v>
      </c>
      <c r="M15" s="80">
        <f t="shared" si="0"/>
        <v>47000</v>
      </c>
      <c r="N15" s="80">
        <v>55.9</v>
      </c>
      <c r="O15" s="80">
        <v>15.5</v>
      </c>
      <c r="P15" s="80">
        <v>55.9</v>
      </c>
      <c r="Q15" s="80">
        <v>1.2</v>
      </c>
      <c r="R15" s="80">
        <f>IF($D15="Corn",
SUMIFS('Discount Schedules'!$I$6:$I$22,'Discount Schedules'!$F$6:$F$22,"Moisture",'Discount Schedules'!$G$6:$G$22,"&lt;="&amp;$O15,'Discount Schedules'!$H$6:$H$22,"&gt;="&amp;$O15)
+SUMIFS('Discount Schedules'!$I$6:$I$22,'Discount Schedules'!$F$6:$F$22,"Test Weight",'Discount Schedules'!$G$6:$G$22,"&lt;="&amp;$N15,'Discount Schedules'!$H$6:$H$22,"&gt;="&amp;$N15)
+SUMIFS('Discount Schedules'!$I$6:$I$22,'Discount Schedules'!$F$6:$F$22,"Damage",'Discount Schedules'!$G$6:$G$22,"&lt;="&amp;$P15,'Discount Schedules'!$H$6:$H$22,"&gt;="&amp;$P15)
+SUMIFS('Discount Schedules'!$I$6:$I$22,'Discount Schedules'!$F$6:$F$22,"FM",'Discount Schedules'!$G$6:$G$22,"&lt;="&amp;$Q15,'Discount Schedules'!$H$6:$H$22,"&gt;="&amp;$Q15),
IF($D15="Soybeans",
SUMIFS('Discount Schedules'!$N$6:$N$22,'Discount Schedules'!$K$6:$K$22,"Moisture",'Discount Schedules'!$L$6:$L$22,"&lt;="&amp;$O15,'Discount Schedules'!$M$6:$M$22,"&gt;="&amp;$O15)
+SUMIFS('Discount Schedules'!$N$6:$N$22,'Discount Schedules'!$K$6:$K$22,"Test Weight",'Discount Schedules'!$L$6:$L$22,"&lt;="&amp;$N15,'Discount Schedules'!$M$6:$M$22,"&gt;="&amp;$N15)
+SUMIFS('Discount Schedules'!$N$6:$N$22,'Discount Schedules'!$K$6:$K$22,"Damage",'Discount Schedules'!$L$6:$L$22,"&lt;="&amp;$P15,'Discount Schedules'!$M$6:$M$22,"&gt;="&amp;$P15)
+SUMIFS('Discount Schedules'!$N$6:$N$22,'Discount Schedules'!$K$6:$K$22,"FM",'Discount Schedules'!$L$6:$L$22,"&lt;="&amp;$Q15,'Discount Schedules'!$M$6:$M$22,"&gt;="&amp;$Q15),""))</f>
        <v>0.29000000000000004</v>
      </c>
      <c r="S15" s="83">
        <f t="shared" si="1"/>
        <v>839</v>
      </c>
    </row>
    <row r="16" spans="1:19">
      <c r="A16" s="74" t="s">
        <v>107</v>
      </c>
      <c r="B16" s="75" t="s">
        <v>19</v>
      </c>
      <c r="C16" s="75" t="s">
        <v>20</v>
      </c>
      <c r="D16" s="75" t="s">
        <v>15</v>
      </c>
      <c r="E16" s="75" t="s">
        <v>82</v>
      </c>
      <c r="F16" s="75" t="s">
        <v>93</v>
      </c>
      <c r="G16" s="75" t="s">
        <v>94</v>
      </c>
      <c r="H16" s="76">
        <v>46267</v>
      </c>
      <c r="I16" s="77">
        <v>0.46041666666666664</v>
      </c>
      <c r="J16" s="77">
        <v>0.47083333333333333</v>
      </c>
      <c r="K16" s="75">
        <v>79360</v>
      </c>
      <c r="L16" s="75">
        <v>31820</v>
      </c>
      <c r="M16" s="75">
        <f t="shared" si="0"/>
        <v>47540</v>
      </c>
      <c r="N16" s="75">
        <v>56.3</v>
      </c>
      <c r="O16" s="75">
        <v>15.1</v>
      </c>
      <c r="P16" s="75">
        <v>2</v>
      </c>
      <c r="Q16" s="75">
        <v>1</v>
      </c>
      <c r="R16" s="75">
        <f>IF($D16="Corn",
SUMIFS('Discount Schedules'!$I$6:$I$22,'Discount Schedules'!$F$6:$F$22,"Moisture",'Discount Schedules'!$G$6:$G$22,"&lt;="&amp;$O16,'Discount Schedules'!$H$6:$H$22,"&gt;="&amp;$O16)
+SUMIFS('Discount Schedules'!$I$6:$I$22,'Discount Schedules'!$F$6:$F$22,"Test Weight",'Discount Schedules'!$G$6:$G$22,"&lt;="&amp;$N16,'Discount Schedules'!$H$6:$H$22,"&gt;="&amp;$N16)
+SUMIFS('Discount Schedules'!$I$6:$I$22,'Discount Schedules'!$F$6:$F$22,"Damage",'Discount Schedules'!$G$6:$G$22,"&lt;="&amp;$P16,'Discount Schedules'!$H$6:$H$22,"&gt;="&amp;$P16)
+SUMIFS('Discount Schedules'!$I$6:$I$22,'Discount Schedules'!$F$6:$F$22,"FM",'Discount Schedules'!$G$6:$G$22,"&lt;="&amp;$Q16,'Discount Schedules'!$H$6:$H$22,"&gt;="&amp;$Q16),
IF($D16="Soybeans",
SUMIFS('Discount Schedules'!$N$6:$N$22,'Discount Schedules'!$K$6:$K$22,"Moisture",'Discount Schedules'!$L$6:$L$22,"&lt;="&amp;$O16,'Discount Schedules'!$M$6:$M$22,"&gt;="&amp;$O16)
+SUMIFS('Discount Schedules'!$N$6:$N$22,'Discount Schedules'!$K$6:$K$22,"Test Weight",'Discount Schedules'!$L$6:$L$22,"&lt;="&amp;$N16,'Discount Schedules'!$M$6:$M$22,"&gt;="&amp;$N16)
+SUMIFS('Discount Schedules'!$N$6:$N$22,'Discount Schedules'!$K$6:$K$22,"Damage",'Discount Schedules'!$L$6:$L$22,"&lt;="&amp;$P16,'Discount Schedules'!$M$6:$M$22,"&gt;="&amp;$P16)
+SUMIFS('Discount Schedules'!$N$6:$N$22,'Discount Schedules'!$K$6:$K$22,"FM",'Discount Schedules'!$L$6:$L$22,"&lt;="&amp;$Q16,'Discount Schedules'!$M$6:$M$22,"&gt;="&amp;$Q16),""))</f>
        <v>0.02</v>
      </c>
      <c r="S16" s="78">
        <f t="shared" si="1"/>
        <v>849</v>
      </c>
    </row>
    <row r="17" spans="1:19">
      <c r="A17" s="79" t="s">
        <v>108</v>
      </c>
      <c r="B17" s="80" t="s">
        <v>46</v>
      </c>
      <c r="C17" s="80" t="s">
        <v>47</v>
      </c>
      <c r="D17" s="80" t="s">
        <v>43</v>
      </c>
      <c r="E17" s="80" t="s">
        <v>82</v>
      </c>
      <c r="F17" s="80" t="s">
        <v>97</v>
      </c>
      <c r="G17" s="80" t="s">
        <v>98</v>
      </c>
      <c r="H17" s="81">
        <v>46267</v>
      </c>
      <c r="I17" s="82">
        <v>0.47083333333333333</v>
      </c>
      <c r="J17" s="82">
        <v>0.47986111111111113</v>
      </c>
      <c r="K17" s="80">
        <v>80220</v>
      </c>
      <c r="L17" s="80">
        <v>30420</v>
      </c>
      <c r="M17" s="80">
        <f t="shared" si="0"/>
        <v>49800</v>
      </c>
      <c r="N17" s="80">
        <v>58.5</v>
      </c>
      <c r="O17" s="80">
        <v>13</v>
      </c>
      <c r="P17" s="80">
        <v>1.3</v>
      </c>
      <c r="Q17" s="80">
        <v>0.6</v>
      </c>
      <c r="R17" s="80">
        <f>IF($D17="Corn",
SUMIFS('Discount Schedules'!$I$6:$I$22,'Discount Schedules'!$F$6:$F$22,"Moisture",'Discount Schedules'!$G$6:$G$22,"&lt;="&amp;$O17,'Discount Schedules'!$H$6:$H$22,"&gt;="&amp;$O17)
+SUMIFS('Discount Schedules'!$I$6:$I$22,'Discount Schedules'!$F$6:$F$22,"Test Weight",'Discount Schedules'!$G$6:$G$22,"&lt;="&amp;$N17,'Discount Schedules'!$H$6:$H$22,"&gt;="&amp;$N17)
+SUMIFS('Discount Schedules'!$I$6:$I$22,'Discount Schedules'!$F$6:$F$22,"Damage",'Discount Schedules'!$G$6:$G$22,"&lt;="&amp;$P17,'Discount Schedules'!$H$6:$H$22,"&gt;="&amp;$P17)
+SUMIFS('Discount Schedules'!$I$6:$I$22,'Discount Schedules'!$F$6:$F$22,"FM",'Discount Schedules'!$G$6:$G$22,"&lt;="&amp;$Q17,'Discount Schedules'!$H$6:$H$22,"&gt;="&amp;$Q17),
IF($D17="Soybeans",
SUMIFS('Discount Schedules'!$N$6:$N$22,'Discount Schedules'!$K$6:$K$22,"Moisture",'Discount Schedules'!$L$6:$L$22,"&lt;="&amp;$O17,'Discount Schedules'!$M$6:$M$22,"&gt;="&amp;$O17)
+SUMIFS('Discount Schedules'!$N$6:$N$22,'Discount Schedules'!$K$6:$K$22,"Test Weight",'Discount Schedules'!$L$6:$L$22,"&lt;="&amp;$N17,'Discount Schedules'!$M$6:$M$22,"&gt;="&amp;$N17)
+SUMIFS('Discount Schedules'!$N$6:$N$22,'Discount Schedules'!$K$6:$K$22,"Damage",'Discount Schedules'!$L$6:$L$22,"&lt;="&amp;$P17,'Discount Schedules'!$M$6:$M$22,"&gt;="&amp;$P17)
+SUMIFS('Discount Schedules'!$N$6:$N$22,'Discount Schedules'!$K$6:$K$22,"FM",'Discount Schedules'!$L$6:$L$22,"&lt;="&amp;$Q17,'Discount Schedules'!$M$6:$M$22,"&gt;="&amp;$Q17),""))</f>
        <v>0</v>
      </c>
      <c r="S17" s="83">
        <f t="shared" si="1"/>
        <v>830</v>
      </c>
    </row>
    <row r="18" spans="1:19">
      <c r="A18" s="74" t="s">
        <v>109</v>
      </c>
      <c r="B18" s="75" t="s">
        <v>35</v>
      </c>
      <c r="C18" s="75" t="s">
        <v>36</v>
      </c>
      <c r="D18" s="75" t="s">
        <v>15</v>
      </c>
      <c r="E18" s="75" t="s">
        <v>82</v>
      </c>
      <c r="F18" s="75" t="s">
        <v>83</v>
      </c>
      <c r="G18" s="75" t="s">
        <v>84</v>
      </c>
      <c r="H18" s="76">
        <v>46267</v>
      </c>
      <c r="I18" s="77">
        <v>0.48333333333333334</v>
      </c>
      <c r="J18" s="77">
        <v>0.49444444444444446</v>
      </c>
      <c r="K18" s="75">
        <v>81140</v>
      </c>
      <c r="L18" s="75">
        <v>32120</v>
      </c>
      <c r="M18" s="75">
        <f t="shared" si="0"/>
        <v>49020</v>
      </c>
      <c r="N18" s="75">
        <v>56.9</v>
      </c>
      <c r="O18" s="75">
        <v>14.5</v>
      </c>
      <c r="P18" s="75">
        <v>1.8</v>
      </c>
      <c r="Q18" s="75">
        <v>0.8</v>
      </c>
      <c r="R18" s="75">
        <f>IF($D18="Corn",
SUMIFS('Discount Schedules'!$I$6:$I$22,'Discount Schedules'!$F$6:$F$22,"Moisture",'Discount Schedules'!$G$6:$G$22,"&lt;="&amp;$O18,'Discount Schedules'!$H$6:$H$22,"&gt;="&amp;$O18)
+SUMIFS('Discount Schedules'!$I$6:$I$22,'Discount Schedules'!$F$6:$F$22,"Test Weight",'Discount Schedules'!$G$6:$G$22,"&lt;="&amp;$N18,'Discount Schedules'!$H$6:$H$22,"&gt;="&amp;$N18)
+SUMIFS('Discount Schedules'!$I$6:$I$22,'Discount Schedules'!$F$6:$F$22,"Damage",'Discount Schedules'!$G$6:$G$22,"&lt;="&amp;$P18,'Discount Schedules'!$H$6:$H$22,"&gt;="&amp;$P18)
+SUMIFS('Discount Schedules'!$I$6:$I$22,'Discount Schedules'!$F$6:$F$22,"FM",'Discount Schedules'!$G$6:$G$22,"&lt;="&amp;$Q18,'Discount Schedules'!$H$6:$H$22,"&gt;="&amp;$Q18),
IF($D18="Soybeans",
SUMIFS('Discount Schedules'!$N$6:$N$22,'Discount Schedules'!$K$6:$K$22,"Moisture",'Discount Schedules'!$L$6:$L$22,"&lt;="&amp;$O18,'Discount Schedules'!$M$6:$M$22,"&gt;="&amp;$O18)
+SUMIFS('Discount Schedules'!$N$6:$N$22,'Discount Schedules'!$K$6:$K$22,"Test Weight",'Discount Schedules'!$L$6:$L$22,"&lt;="&amp;$N18,'Discount Schedules'!$M$6:$M$22,"&gt;="&amp;$N18)
+SUMIFS('Discount Schedules'!$N$6:$N$22,'Discount Schedules'!$K$6:$K$22,"Damage",'Discount Schedules'!$L$6:$L$22,"&lt;="&amp;$P18,'Discount Schedules'!$M$6:$M$22,"&gt;="&amp;$P18)
+SUMIFS('Discount Schedules'!$N$6:$N$22,'Discount Schedules'!$K$6:$K$22,"FM",'Discount Schedules'!$L$6:$L$22,"&lt;="&amp;$Q18,'Discount Schedules'!$M$6:$M$22,"&gt;="&amp;$Q18),""))</f>
        <v>0</v>
      </c>
      <c r="S18" s="78">
        <f t="shared" si="1"/>
        <v>875</v>
      </c>
    </row>
    <row r="19" spans="1:19">
      <c r="A19" s="79" t="s">
        <v>110</v>
      </c>
      <c r="B19" s="80" t="s">
        <v>56</v>
      </c>
      <c r="C19" s="80" t="s">
        <v>57</v>
      </c>
      <c r="D19" s="80" t="s">
        <v>43</v>
      </c>
      <c r="E19" s="80" t="s">
        <v>82</v>
      </c>
      <c r="F19" s="80" t="s">
        <v>89</v>
      </c>
      <c r="G19" s="80" t="s">
        <v>90</v>
      </c>
      <c r="H19" s="81">
        <v>46267</v>
      </c>
      <c r="I19" s="82">
        <v>0.49375000000000002</v>
      </c>
      <c r="J19" s="82">
        <v>0.50624999999999998</v>
      </c>
      <c r="K19" s="80">
        <v>78820</v>
      </c>
      <c r="L19" s="80">
        <v>29920</v>
      </c>
      <c r="M19" s="80">
        <f t="shared" si="0"/>
        <v>48900</v>
      </c>
      <c r="N19" s="80">
        <v>58.2</v>
      </c>
      <c r="O19" s="80">
        <v>18.2</v>
      </c>
      <c r="P19" s="80">
        <v>58.2</v>
      </c>
      <c r="Q19" s="80">
        <v>0.7</v>
      </c>
      <c r="R19" s="80">
        <f>IF($D19="Corn",
SUMIFS('Discount Schedules'!$I$6:$I$22,'Discount Schedules'!$F$6:$F$22,"Moisture",'Discount Schedules'!$G$6:$G$22,"&lt;="&amp;$O19,'Discount Schedules'!$H$6:$H$22,"&gt;="&amp;$O19)
+SUMIFS('Discount Schedules'!$I$6:$I$22,'Discount Schedules'!$F$6:$F$22,"Test Weight",'Discount Schedules'!$G$6:$G$22,"&lt;="&amp;$N19,'Discount Schedules'!$H$6:$H$22,"&gt;="&amp;$N19)
+SUMIFS('Discount Schedules'!$I$6:$I$22,'Discount Schedules'!$F$6:$F$22,"Damage",'Discount Schedules'!$G$6:$G$22,"&lt;="&amp;$P19,'Discount Schedules'!$H$6:$H$22,"&gt;="&amp;$P19)
+SUMIFS('Discount Schedules'!$I$6:$I$22,'Discount Schedules'!$F$6:$F$22,"FM",'Discount Schedules'!$G$6:$G$22,"&lt;="&amp;$Q19,'Discount Schedules'!$H$6:$H$22,"&gt;="&amp;$Q19),
IF($D19="Soybeans",
SUMIFS('Discount Schedules'!$N$6:$N$22,'Discount Schedules'!$K$6:$K$22,"Moisture",'Discount Schedules'!$L$6:$L$22,"&lt;="&amp;$O19,'Discount Schedules'!$M$6:$M$22,"&gt;="&amp;$O19)
+SUMIFS('Discount Schedules'!$N$6:$N$22,'Discount Schedules'!$K$6:$K$22,"Test Weight",'Discount Schedules'!$L$6:$L$22,"&lt;="&amp;$N19,'Discount Schedules'!$M$6:$M$22,"&gt;="&amp;$N19)
+SUMIFS('Discount Schedules'!$N$6:$N$22,'Discount Schedules'!$K$6:$K$22,"Damage",'Discount Schedules'!$L$6:$L$22,"&lt;="&amp;$P19,'Discount Schedules'!$M$6:$M$22,"&gt;="&amp;$P19)
+SUMIFS('Discount Schedules'!$N$6:$N$22,'Discount Schedules'!$K$6:$K$22,"FM",'Discount Schedules'!$L$6:$L$22,"&lt;="&amp;$Q19,'Discount Schedules'!$M$6:$M$22,"&gt;="&amp;$Q19),""))</f>
        <v>0.5</v>
      </c>
      <c r="S19" s="83">
        <f t="shared" si="1"/>
        <v>815</v>
      </c>
    </row>
    <row r="20" spans="1:19">
      <c r="A20" s="74" t="s">
        <v>111</v>
      </c>
      <c r="B20" s="75" t="s">
        <v>39</v>
      </c>
      <c r="C20" s="75" t="s">
        <v>96</v>
      </c>
      <c r="D20" s="75" t="s">
        <v>15</v>
      </c>
      <c r="E20" s="75" t="s">
        <v>82</v>
      </c>
      <c r="F20" s="75" t="s">
        <v>97</v>
      </c>
      <c r="G20" s="75" t="s">
        <v>98</v>
      </c>
      <c r="H20" s="76">
        <v>46267</v>
      </c>
      <c r="I20" s="77">
        <v>0.50972222222222219</v>
      </c>
      <c r="J20" s="77">
        <v>0.52013888888888893</v>
      </c>
      <c r="K20" s="75">
        <v>80340</v>
      </c>
      <c r="L20" s="75">
        <v>31740</v>
      </c>
      <c r="M20" s="75">
        <f t="shared" si="0"/>
        <v>48600</v>
      </c>
      <c r="N20" s="75">
        <v>56.6</v>
      </c>
      <c r="O20" s="75">
        <v>14.8</v>
      </c>
      <c r="P20" s="75">
        <v>1.7</v>
      </c>
      <c r="Q20" s="75">
        <v>0.9</v>
      </c>
      <c r="R20" s="75">
        <f>IF($D20="Corn",
SUMIFS('Discount Schedules'!$I$6:$I$22,'Discount Schedules'!$F$6:$F$22,"Moisture",'Discount Schedules'!$G$6:$G$22,"&lt;="&amp;$O20,'Discount Schedules'!$H$6:$H$22,"&gt;="&amp;$O20)
+SUMIFS('Discount Schedules'!$I$6:$I$22,'Discount Schedules'!$F$6:$F$22,"Test Weight",'Discount Schedules'!$G$6:$G$22,"&lt;="&amp;$N20,'Discount Schedules'!$H$6:$H$22,"&gt;="&amp;$N20)
+SUMIFS('Discount Schedules'!$I$6:$I$22,'Discount Schedules'!$F$6:$F$22,"Damage",'Discount Schedules'!$G$6:$G$22,"&lt;="&amp;$P20,'Discount Schedules'!$H$6:$H$22,"&gt;="&amp;$P20)
+SUMIFS('Discount Schedules'!$I$6:$I$22,'Discount Schedules'!$F$6:$F$22,"FM",'Discount Schedules'!$G$6:$G$22,"&lt;="&amp;$Q20,'Discount Schedules'!$H$6:$H$22,"&gt;="&amp;$Q20),
IF($D20="Soybeans",
SUMIFS('Discount Schedules'!$N$6:$N$22,'Discount Schedules'!$K$6:$K$22,"Moisture",'Discount Schedules'!$L$6:$L$22,"&lt;="&amp;$O20,'Discount Schedules'!$M$6:$M$22,"&gt;="&amp;$O20)
+SUMIFS('Discount Schedules'!$N$6:$N$22,'Discount Schedules'!$K$6:$K$22,"Test Weight",'Discount Schedules'!$L$6:$L$22,"&lt;="&amp;$N20,'Discount Schedules'!$M$6:$M$22,"&gt;="&amp;$N20)
+SUMIFS('Discount Schedules'!$N$6:$N$22,'Discount Schedules'!$K$6:$K$22,"Damage",'Discount Schedules'!$L$6:$L$22,"&lt;="&amp;$P20,'Discount Schedules'!$M$6:$M$22,"&gt;="&amp;$P20)
+SUMIFS('Discount Schedules'!$N$6:$N$22,'Discount Schedules'!$K$6:$K$22,"FM",'Discount Schedules'!$L$6:$L$22,"&lt;="&amp;$Q20,'Discount Schedules'!$M$6:$M$22,"&gt;="&amp;$Q20),""))</f>
        <v>0</v>
      </c>
      <c r="S20" s="78">
        <f t="shared" si="1"/>
        <v>868</v>
      </c>
    </row>
    <row r="21" spans="1:19">
      <c r="A21" s="79" t="s">
        <v>112</v>
      </c>
      <c r="B21" s="80" t="s">
        <v>49</v>
      </c>
      <c r="C21" s="80" t="s">
        <v>50</v>
      </c>
      <c r="D21" s="80" t="s">
        <v>43</v>
      </c>
      <c r="E21" s="80" t="s">
        <v>82</v>
      </c>
      <c r="F21" s="80" t="s">
        <v>89</v>
      </c>
      <c r="G21" s="80" t="s">
        <v>90</v>
      </c>
      <c r="H21" s="81">
        <v>46267</v>
      </c>
      <c r="I21" s="82">
        <v>0.52222222222222225</v>
      </c>
      <c r="J21" s="82">
        <v>0.53194444444444444</v>
      </c>
      <c r="K21" s="80">
        <v>79720</v>
      </c>
      <c r="L21" s="80">
        <v>30220</v>
      </c>
      <c r="M21" s="80">
        <f t="shared" si="0"/>
        <v>49500</v>
      </c>
      <c r="N21" s="80">
        <v>58.1</v>
      </c>
      <c r="O21" s="80">
        <v>13.3</v>
      </c>
      <c r="P21" s="80">
        <v>1.5</v>
      </c>
      <c r="Q21" s="80">
        <v>0.8</v>
      </c>
      <c r="R21" s="80">
        <f>IF($D21="Corn",
SUMIFS('Discount Schedules'!$I$6:$I$22,'Discount Schedules'!$F$6:$F$22,"Moisture",'Discount Schedules'!$G$6:$G$22,"&lt;="&amp;$O21,'Discount Schedules'!$H$6:$H$22,"&gt;="&amp;$O21)
+SUMIFS('Discount Schedules'!$I$6:$I$22,'Discount Schedules'!$F$6:$F$22,"Test Weight",'Discount Schedules'!$G$6:$G$22,"&lt;="&amp;$N21,'Discount Schedules'!$H$6:$H$22,"&gt;="&amp;$N21)
+SUMIFS('Discount Schedules'!$I$6:$I$22,'Discount Schedules'!$F$6:$F$22,"Damage",'Discount Schedules'!$G$6:$G$22,"&lt;="&amp;$P21,'Discount Schedules'!$H$6:$H$22,"&gt;="&amp;$P21)
+SUMIFS('Discount Schedules'!$I$6:$I$22,'Discount Schedules'!$F$6:$F$22,"FM",'Discount Schedules'!$G$6:$G$22,"&lt;="&amp;$Q21,'Discount Schedules'!$H$6:$H$22,"&gt;="&amp;$Q21),
IF($D21="Soybeans",
SUMIFS('Discount Schedules'!$N$6:$N$22,'Discount Schedules'!$K$6:$K$22,"Moisture",'Discount Schedules'!$L$6:$L$22,"&lt;="&amp;$O21,'Discount Schedules'!$M$6:$M$22,"&gt;="&amp;$O21)
+SUMIFS('Discount Schedules'!$N$6:$N$22,'Discount Schedules'!$K$6:$K$22,"Test Weight",'Discount Schedules'!$L$6:$L$22,"&lt;="&amp;$N21,'Discount Schedules'!$M$6:$M$22,"&gt;="&amp;$N21)
+SUMIFS('Discount Schedules'!$N$6:$N$22,'Discount Schedules'!$K$6:$K$22,"Damage",'Discount Schedules'!$L$6:$L$22,"&lt;="&amp;$P21,'Discount Schedules'!$M$6:$M$22,"&gt;="&amp;$P21)
+SUMIFS('Discount Schedules'!$N$6:$N$22,'Discount Schedules'!$K$6:$K$22,"FM",'Discount Schedules'!$L$6:$L$22,"&lt;="&amp;$Q21,'Discount Schedules'!$M$6:$M$22,"&gt;="&amp;$Q21),""))</f>
        <v>0.01</v>
      </c>
      <c r="S21" s="83">
        <f t="shared" si="1"/>
        <v>825</v>
      </c>
    </row>
    <row r="22" spans="1:19">
      <c r="A22" s="74" t="s">
        <v>113</v>
      </c>
      <c r="B22" s="75" t="s">
        <v>35</v>
      </c>
      <c r="C22" s="75" t="s">
        <v>36</v>
      </c>
      <c r="D22" s="75" t="s">
        <v>15</v>
      </c>
      <c r="E22" s="75" t="s">
        <v>82</v>
      </c>
      <c r="F22" s="75" t="s">
        <v>83</v>
      </c>
      <c r="G22" s="75" t="s">
        <v>84</v>
      </c>
      <c r="H22" s="76">
        <v>46267</v>
      </c>
      <c r="I22" s="77">
        <v>0.53402777777777777</v>
      </c>
      <c r="J22" s="77">
        <v>0.54305555555555551</v>
      </c>
      <c r="K22" s="75">
        <v>81480</v>
      </c>
      <c r="L22" s="75">
        <v>32280</v>
      </c>
      <c r="M22" s="75">
        <f t="shared" si="0"/>
        <v>49200</v>
      </c>
      <c r="N22" s="75">
        <v>56.8</v>
      </c>
      <c r="O22" s="75">
        <v>14.7</v>
      </c>
      <c r="P22" s="75">
        <v>1.8</v>
      </c>
      <c r="Q22" s="75">
        <v>0.8</v>
      </c>
      <c r="R22" s="75">
        <f>IF($D22="Corn",
SUMIFS('Discount Schedules'!$I$6:$I$22,'Discount Schedules'!$F$6:$F$22,"Moisture",'Discount Schedules'!$G$6:$G$22,"&lt;="&amp;$O22,'Discount Schedules'!$H$6:$H$22,"&gt;="&amp;$O22)
+SUMIFS('Discount Schedules'!$I$6:$I$22,'Discount Schedules'!$F$6:$F$22,"Test Weight",'Discount Schedules'!$G$6:$G$22,"&lt;="&amp;$N22,'Discount Schedules'!$H$6:$H$22,"&gt;="&amp;$N22)
+SUMIFS('Discount Schedules'!$I$6:$I$22,'Discount Schedules'!$F$6:$F$22,"Damage",'Discount Schedules'!$G$6:$G$22,"&lt;="&amp;$P22,'Discount Schedules'!$H$6:$H$22,"&gt;="&amp;$P22)
+SUMIFS('Discount Schedules'!$I$6:$I$22,'Discount Schedules'!$F$6:$F$22,"FM",'Discount Schedules'!$G$6:$G$22,"&lt;="&amp;$Q22,'Discount Schedules'!$H$6:$H$22,"&gt;="&amp;$Q22),
IF($D22="Soybeans",
SUMIFS('Discount Schedules'!$N$6:$N$22,'Discount Schedules'!$K$6:$K$22,"Moisture",'Discount Schedules'!$L$6:$L$22,"&lt;="&amp;$O22,'Discount Schedules'!$M$6:$M$22,"&gt;="&amp;$O22)
+SUMIFS('Discount Schedules'!$N$6:$N$22,'Discount Schedules'!$K$6:$K$22,"Test Weight",'Discount Schedules'!$L$6:$L$22,"&lt;="&amp;$N22,'Discount Schedules'!$M$6:$M$22,"&gt;="&amp;$N22)
+SUMIFS('Discount Schedules'!$N$6:$N$22,'Discount Schedules'!$K$6:$K$22,"Damage",'Discount Schedules'!$L$6:$L$22,"&lt;="&amp;$P22,'Discount Schedules'!$M$6:$M$22,"&gt;="&amp;$P22)
+SUMIFS('Discount Schedules'!$N$6:$N$22,'Discount Schedules'!$K$6:$K$22,"FM",'Discount Schedules'!$L$6:$L$22,"&lt;="&amp;$Q22,'Discount Schedules'!$M$6:$M$22,"&gt;="&amp;$Q22),""))</f>
        <v>0</v>
      </c>
      <c r="S22" s="78">
        <f t="shared" si="1"/>
        <v>879</v>
      </c>
    </row>
    <row r="23" spans="1:19">
      <c r="A23" s="79" t="s">
        <v>114</v>
      </c>
      <c r="B23" s="80" t="s">
        <v>13</v>
      </c>
      <c r="C23" s="80" t="s">
        <v>14</v>
      </c>
      <c r="D23" s="80" t="s">
        <v>15</v>
      </c>
      <c r="E23" s="80" t="s">
        <v>82</v>
      </c>
      <c r="F23" s="80" t="s">
        <v>93</v>
      </c>
      <c r="G23" s="80" t="s">
        <v>94</v>
      </c>
      <c r="H23" s="81">
        <v>46267</v>
      </c>
      <c r="I23" s="82">
        <v>0.54652777777777772</v>
      </c>
      <c r="J23" s="82">
        <v>0.55486111111111114</v>
      </c>
      <c r="K23" s="80">
        <v>78240</v>
      </c>
      <c r="L23" s="80">
        <v>31140</v>
      </c>
      <c r="M23" s="80">
        <f t="shared" si="0"/>
        <v>47100</v>
      </c>
      <c r="N23" s="80">
        <v>15.4</v>
      </c>
      <c r="O23" s="80">
        <v>55.8</v>
      </c>
      <c r="P23" s="80">
        <v>2.4</v>
      </c>
      <c r="Q23" s="80">
        <v>1.1000000000000001</v>
      </c>
      <c r="R23" s="80">
        <f>IF($D23="Corn",
SUMIFS('Discount Schedules'!$I$6:$I$22,'Discount Schedules'!$F$6:$F$22,"Moisture",'Discount Schedules'!$G$6:$G$22,"&lt;="&amp;$O23,'Discount Schedules'!$H$6:$H$22,"&gt;="&amp;$O23)
+SUMIFS('Discount Schedules'!$I$6:$I$22,'Discount Schedules'!$F$6:$F$22,"Test Weight",'Discount Schedules'!$G$6:$G$22,"&lt;="&amp;$N23,'Discount Schedules'!$H$6:$H$22,"&gt;="&amp;$N23)
+SUMIFS('Discount Schedules'!$I$6:$I$22,'Discount Schedules'!$F$6:$F$22,"Damage",'Discount Schedules'!$G$6:$G$22,"&lt;="&amp;$P23,'Discount Schedules'!$H$6:$H$22,"&gt;="&amp;$P23)
+SUMIFS('Discount Schedules'!$I$6:$I$22,'Discount Schedules'!$F$6:$F$22,"FM",'Discount Schedules'!$G$6:$G$22,"&lt;="&amp;$Q23,'Discount Schedules'!$H$6:$H$22,"&gt;="&amp;$Q23),
IF($D23="Soybeans",
SUMIFS('Discount Schedules'!$N$6:$N$22,'Discount Schedules'!$K$6:$K$22,"Moisture",'Discount Schedules'!$L$6:$L$22,"&lt;="&amp;$O23,'Discount Schedules'!$M$6:$M$22,"&gt;="&amp;$O23)
+SUMIFS('Discount Schedules'!$N$6:$N$22,'Discount Schedules'!$K$6:$K$22,"Test Weight",'Discount Schedules'!$L$6:$L$22,"&lt;="&amp;$N23,'Discount Schedules'!$M$6:$M$22,"&gt;="&amp;$N23)
+SUMIFS('Discount Schedules'!$N$6:$N$22,'Discount Schedules'!$K$6:$K$22,"Damage",'Discount Schedules'!$L$6:$L$22,"&lt;="&amp;$P23,'Discount Schedules'!$M$6:$M$22,"&gt;="&amp;$P23)
+SUMIFS('Discount Schedules'!$N$6:$N$22,'Discount Schedules'!$K$6:$K$22,"FM",'Discount Schedules'!$L$6:$L$22,"&lt;="&amp;$Q23,'Discount Schedules'!$M$6:$M$22,"&gt;="&amp;$Q23),""))</f>
        <v>0.27</v>
      </c>
      <c r="S23" s="83">
        <f t="shared" si="1"/>
        <v>841</v>
      </c>
    </row>
    <row r="24" spans="1:19">
      <c r="A24" s="74" t="s">
        <v>115</v>
      </c>
      <c r="B24" s="75" t="s">
        <v>54</v>
      </c>
      <c r="C24" s="75" t="s">
        <v>55</v>
      </c>
      <c r="D24" s="75" t="s">
        <v>43</v>
      </c>
      <c r="E24" s="75" t="s">
        <v>82</v>
      </c>
      <c r="F24" s="75" t="s">
        <v>89</v>
      </c>
      <c r="G24" s="75" t="s">
        <v>90</v>
      </c>
      <c r="H24" s="76">
        <v>46267</v>
      </c>
      <c r="I24" s="77">
        <v>0.55625000000000002</v>
      </c>
      <c r="J24" s="77">
        <v>0.56666666666666665</v>
      </c>
      <c r="K24" s="75">
        <v>80160</v>
      </c>
      <c r="L24" s="75">
        <v>30160</v>
      </c>
      <c r="M24" s="75">
        <f t="shared" si="0"/>
        <v>50000</v>
      </c>
      <c r="N24" s="75">
        <v>58.4</v>
      </c>
      <c r="O24" s="75">
        <v>12.8</v>
      </c>
      <c r="P24" s="75">
        <v>1.2</v>
      </c>
      <c r="Q24" s="75">
        <v>0.7</v>
      </c>
      <c r="R24" s="75">
        <f>IF($D24="Corn",
SUMIFS('Discount Schedules'!$I$6:$I$22,'Discount Schedules'!$F$6:$F$22,"Moisture",'Discount Schedules'!$G$6:$G$22,"&lt;="&amp;$O24,'Discount Schedules'!$H$6:$H$22,"&gt;="&amp;$O24)
+SUMIFS('Discount Schedules'!$I$6:$I$22,'Discount Schedules'!$F$6:$F$22,"Test Weight",'Discount Schedules'!$G$6:$G$22,"&lt;="&amp;$N24,'Discount Schedules'!$H$6:$H$22,"&gt;="&amp;$N24)
+SUMIFS('Discount Schedules'!$I$6:$I$22,'Discount Schedules'!$F$6:$F$22,"Damage",'Discount Schedules'!$G$6:$G$22,"&lt;="&amp;$P24,'Discount Schedules'!$H$6:$H$22,"&gt;="&amp;$P24)
+SUMIFS('Discount Schedules'!$I$6:$I$22,'Discount Schedules'!$F$6:$F$22,"FM",'Discount Schedules'!$G$6:$G$22,"&lt;="&amp;$Q24,'Discount Schedules'!$H$6:$H$22,"&gt;="&amp;$Q24),
IF($D24="Soybeans",
SUMIFS('Discount Schedules'!$N$6:$N$22,'Discount Schedules'!$K$6:$K$22,"Moisture",'Discount Schedules'!$L$6:$L$22,"&lt;="&amp;$O24,'Discount Schedules'!$M$6:$M$22,"&gt;="&amp;$O24)
+SUMIFS('Discount Schedules'!$N$6:$N$22,'Discount Schedules'!$K$6:$K$22,"Test Weight",'Discount Schedules'!$L$6:$L$22,"&lt;="&amp;$N24,'Discount Schedules'!$M$6:$M$22,"&gt;="&amp;$N24)
+SUMIFS('Discount Schedules'!$N$6:$N$22,'Discount Schedules'!$K$6:$K$22,"Damage",'Discount Schedules'!$L$6:$L$22,"&lt;="&amp;$P24,'Discount Schedules'!$M$6:$M$22,"&gt;="&amp;$P24)
+SUMIFS('Discount Schedules'!$N$6:$N$22,'Discount Schedules'!$K$6:$K$22,"FM",'Discount Schedules'!$L$6:$L$22,"&lt;="&amp;$Q24,'Discount Schedules'!$M$6:$M$22,"&gt;="&amp;$Q24),""))</f>
        <v>0</v>
      </c>
      <c r="S24" s="78">
        <f t="shared" si="1"/>
        <v>833</v>
      </c>
    </row>
    <row r="25" spans="1:19">
      <c r="A25" s="79" t="s">
        <v>116</v>
      </c>
      <c r="B25" s="80" t="s">
        <v>21</v>
      </c>
      <c r="C25" s="80" t="s">
        <v>22</v>
      </c>
      <c r="D25" s="80" t="s">
        <v>15</v>
      </c>
      <c r="E25" s="80" t="s">
        <v>82</v>
      </c>
      <c r="F25" s="80" t="s">
        <v>86</v>
      </c>
      <c r="G25" s="80" t="s">
        <v>87</v>
      </c>
      <c r="H25" s="81">
        <v>46267</v>
      </c>
      <c r="I25" s="82">
        <v>0.56874999999999998</v>
      </c>
      <c r="J25" s="82">
        <v>0.57986111111111116</v>
      </c>
      <c r="K25" s="80">
        <v>79280</v>
      </c>
      <c r="L25" s="80">
        <v>31680</v>
      </c>
      <c r="M25" s="80">
        <f t="shared" si="0"/>
        <v>47600</v>
      </c>
      <c r="N25" s="80">
        <v>56.1</v>
      </c>
      <c r="O25" s="80">
        <v>15.2</v>
      </c>
      <c r="P25" s="80">
        <v>2.1</v>
      </c>
      <c r="Q25" s="80">
        <v>1</v>
      </c>
      <c r="R25" s="80">
        <f>IF($D25="Corn",
SUMIFS('Discount Schedules'!$I$6:$I$22,'Discount Schedules'!$F$6:$F$22,"Moisture",'Discount Schedules'!$G$6:$G$22,"&lt;="&amp;$O25,'Discount Schedules'!$H$6:$H$22,"&gt;="&amp;$O25)
+SUMIFS('Discount Schedules'!$I$6:$I$22,'Discount Schedules'!$F$6:$F$22,"Test Weight",'Discount Schedules'!$G$6:$G$22,"&lt;="&amp;$N25,'Discount Schedules'!$H$6:$H$22,"&gt;="&amp;$N25)
+SUMIFS('Discount Schedules'!$I$6:$I$22,'Discount Schedules'!$F$6:$F$22,"Damage",'Discount Schedules'!$G$6:$G$22,"&lt;="&amp;$P25,'Discount Schedules'!$H$6:$H$22,"&gt;="&amp;$P25)
+SUMIFS('Discount Schedules'!$I$6:$I$22,'Discount Schedules'!$F$6:$F$22,"FM",'Discount Schedules'!$G$6:$G$22,"&lt;="&amp;$Q25,'Discount Schedules'!$H$6:$H$22,"&gt;="&amp;$Q25),
IF($D25="Soybeans",
SUMIFS('Discount Schedules'!$N$6:$N$22,'Discount Schedules'!$K$6:$K$22,"Moisture",'Discount Schedules'!$L$6:$L$22,"&lt;="&amp;$O25,'Discount Schedules'!$M$6:$M$22,"&gt;="&amp;$O25)
+SUMIFS('Discount Schedules'!$N$6:$N$22,'Discount Schedules'!$K$6:$K$22,"Test Weight",'Discount Schedules'!$L$6:$L$22,"&lt;="&amp;$N25,'Discount Schedules'!$M$6:$M$22,"&gt;="&amp;$N25)
+SUMIFS('Discount Schedules'!$N$6:$N$22,'Discount Schedules'!$K$6:$K$22,"Damage",'Discount Schedules'!$L$6:$L$22,"&lt;="&amp;$P25,'Discount Schedules'!$M$6:$M$22,"&gt;="&amp;$P25)
+SUMIFS('Discount Schedules'!$N$6:$N$22,'Discount Schedules'!$K$6:$K$22,"FM",'Discount Schedules'!$L$6:$L$22,"&lt;="&amp;$Q25,'Discount Schedules'!$M$6:$M$22,"&gt;="&amp;$Q25),""))</f>
        <v>0.02</v>
      </c>
      <c r="S25" s="83">
        <f t="shared" si="1"/>
        <v>850</v>
      </c>
    </row>
    <row r="26" spans="1:19">
      <c r="A26" s="74" t="s">
        <v>117</v>
      </c>
      <c r="B26" s="75" t="s">
        <v>56</v>
      </c>
      <c r="C26" s="75" t="s">
        <v>57</v>
      </c>
      <c r="D26" s="75" t="s">
        <v>43</v>
      </c>
      <c r="E26" s="75" t="s">
        <v>82</v>
      </c>
      <c r="F26" s="75" t="s">
        <v>97</v>
      </c>
      <c r="G26" s="75" t="s">
        <v>98</v>
      </c>
      <c r="H26" s="76">
        <v>46267</v>
      </c>
      <c r="I26" s="77">
        <v>0.58194444444444449</v>
      </c>
      <c r="J26" s="77">
        <v>0.59305555555555556</v>
      </c>
      <c r="K26" s="75">
        <v>80820</v>
      </c>
      <c r="L26" s="75">
        <v>31920</v>
      </c>
      <c r="M26" s="75">
        <f t="shared" si="0"/>
        <v>48900</v>
      </c>
      <c r="N26" s="75">
        <v>58</v>
      </c>
      <c r="O26" s="75">
        <v>13.4</v>
      </c>
      <c r="P26" s="75">
        <v>1.5</v>
      </c>
      <c r="Q26" s="75">
        <v>0.8</v>
      </c>
      <c r="R26" s="75">
        <f>IF($D26="Corn",
SUMIFS('Discount Schedules'!$I$6:$I$22,'Discount Schedules'!$F$6:$F$22,"Moisture",'Discount Schedules'!$G$6:$G$22,"&lt;="&amp;$O26,'Discount Schedules'!$H$6:$H$22,"&gt;="&amp;$O26)
+SUMIFS('Discount Schedules'!$I$6:$I$22,'Discount Schedules'!$F$6:$F$22,"Test Weight",'Discount Schedules'!$G$6:$G$22,"&lt;="&amp;$N26,'Discount Schedules'!$H$6:$H$22,"&gt;="&amp;$N26)
+SUMIFS('Discount Schedules'!$I$6:$I$22,'Discount Schedules'!$F$6:$F$22,"Damage",'Discount Schedules'!$G$6:$G$22,"&lt;="&amp;$P26,'Discount Schedules'!$H$6:$H$22,"&gt;="&amp;$P26)
+SUMIFS('Discount Schedules'!$I$6:$I$22,'Discount Schedules'!$F$6:$F$22,"FM",'Discount Schedules'!$G$6:$G$22,"&lt;="&amp;$Q26,'Discount Schedules'!$H$6:$H$22,"&gt;="&amp;$Q26),
IF($D26="Soybeans",
SUMIFS('Discount Schedules'!$N$6:$N$22,'Discount Schedules'!$K$6:$K$22,"Moisture",'Discount Schedules'!$L$6:$L$22,"&lt;="&amp;$O26,'Discount Schedules'!$M$6:$M$22,"&gt;="&amp;$O26)
+SUMIFS('Discount Schedules'!$N$6:$N$22,'Discount Schedules'!$K$6:$K$22,"Test Weight",'Discount Schedules'!$L$6:$L$22,"&lt;="&amp;$N26,'Discount Schedules'!$M$6:$M$22,"&gt;="&amp;$N26)
+SUMIFS('Discount Schedules'!$N$6:$N$22,'Discount Schedules'!$K$6:$K$22,"Damage",'Discount Schedules'!$L$6:$L$22,"&lt;="&amp;$P26,'Discount Schedules'!$M$6:$M$22,"&gt;="&amp;$P26)
+SUMIFS('Discount Schedules'!$N$6:$N$22,'Discount Schedules'!$K$6:$K$22,"FM",'Discount Schedules'!$L$6:$L$22,"&lt;="&amp;$Q26,'Discount Schedules'!$M$6:$M$22,"&gt;="&amp;$Q26),""))</f>
        <v>0.01</v>
      </c>
      <c r="S26" s="78">
        <f t="shared" si="1"/>
        <v>815</v>
      </c>
    </row>
    <row r="27" spans="1:19">
      <c r="A27" s="79" t="s">
        <v>118</v>
      </c>
      <c r="B27" s="80" t="s">
        <v>35</v>
      </c>
      <c r="C27" s="80" t="s">
        <v>36</v>
      </c>
      <c r="D27" s="80" t="s">
        <v>15</v>
      </c>
      <c r="E27" s="80" t="s">
        <v>82</v>
      </c>
      <c r="F27" s="80" t="s">
        <v>83</v>
      </c>
      <c r="G27" s="80" t="s">
        <v>84</v>
      </c>
      <c r="H27" s="81">
        <v>46267</v>
      </c>
      <c r="I27" s="82">
        <v>0.59513888888888888</v>
      </c>
      <c r="J27" s="82">
        <v>0.60486111111111107</v>
      </c>
      <c r="K27" s="80">
        <v>81640</v>
      </c>
      <c r="L27" s="80">
        <v>32340</v>
      </c>
      <c r="M27" s="80">
        <f t="shared" si="0"/>
        <v>49300</v>
      </c>
      <c r="N27" s="80">
        <v>56.9</v>
      </c>
      <c r="O27" s="80">
        <v>14.6</v>
      </c>
      <c r="P27" s="80">
        <v>1.8</v>
      </c>
      <c r="Q27" s="80">
        <v>0.8</v>
      </c>
      <c r="R27" s="80">
        <f>IF($D27="Corn",
SUMIFS('Discount Schedules'!$I$6:$I$22,'Discount Schedules'!$F$6:$F$22,"Moisture",'Discount Schedules'!$G$6:$G$22,"&lt;="&amp;$O27,'Discount Schedules'!$H$6:$H$22,"&gt;="&amp;$O27)
+SUMIFS('Discount Schedules'!$I$6:$I$22,'Discount Schedules'!$F$6:$F$22,"Test Weight",'Discount Schedules'!$G$6:$G$22,"&lt;="&amp;$N27,'Discount Schedules'!$H$6:$H$22,"&gt;="&amp;$N27)
+SUMIFS('Discount Schedules'!$I$6:$I$22,'Discount Schedules'!$F$6:$F$22,"Damage",'Discount Schedules'!$G$6:$G$22,"&lt;="&amp;$P27,'Discount Schedules'!$H$6:$H$22,"&gt;="&amp;$P27)
+SUMIFS('Discount Schedules'!$I$6:$I$22,'Discount Schedules'!$F$6:$F$22,"FM",'Discount Schedules'!$G$6:$G$22,"&lt;="&amp;$Q27,'Discount Schedules'!$H$6:$H$22,"&gt;="&amp;$Q27),
IF($D27="Soybeans",
SUMIFS('Discount Schedules'!$N$6:$N$22,'Discount Schedules'!$K$6:$K$22,"Moisture",'Discount Schedules'!$L$6:$L$22,"&lt;="&amp;$O27,'Discount Schedules'!$M$6:$M$22,"&gt;="&amp;$O27)
+SUMIFS('Discount Schedules'!$N$6:$N$22,'Discount Schedules'!$K$6:$K$22,"Test Weight",'Discount Schedules'!$L$6:$L$22,"&lt;="&amp;$N27,'Discount Schedules'!$M$6:$M$22,"&gt;="&amp;$N27)
+SUMIFS('Discount Schedules'!$N$6:$N$22,'Discount Schedules'!$K$6:$K$22,"Damage",'Discount Schedules'!$L$6:$L$22,"&lt;="&amp;$P27,'Discount Schedules'!$M$6:$M$22,"&gt;="&amp;$P27)
+SUMIFS('Discount Schedules'!$N$6:$N$22,'Discount Schedules'!$K$6:$K$22,"FM",'Discount Schedules'!$L$6:$L$22,"&lt;="&amp;$Q27,'Discount Schedules'!$M$6:$M$22,"&gt;="&amp;$Q27),""))</f>
        <v>0</v>
      </c>
      <c r="S27" s="83">
        <f t="shared" si="1"/>
        <v>880</v>
      </c>
    </row>
    <row r="28" spans="1:19">
      <c r="A28" s="74" t="s">
        <v>119</v>
      </c>
      <c r="B28" s="75" t="s">
        <v>54</v>
      </c>
      <c r="C28" s="75" t="s">
        <v>55</v>
      </c>
      <c r="D28" s="75" t="s">
        <v>43</v>
      </c>
      <c r="E28" s="75" t="s">
        <v>82</v>
      </c>
      <c r="F28" s="75" t="s">
        <v>89</v>
      </c>
      <c r="G28" s="75" t="s">
        <v>90</v>
      </c>
      <c r="H28" s="76">
        <v>46267</v>
      </c>
      <c r="I28" s="77">
        <v>0.6069444444444444</v>
      </c>
      <c r="J28" s="77">
        <v>0.61597222222222225</v>
      </c>
      <c r="K28" s="75">
        <v>78680</v>
      </c>
      <c r="L28" s="75">
        <v>30080</v>
      </c>
      <c r="M28" s="75">
        <f t="shared" si="0"/>
        <v>48600</v>
      </c>
      <c r="N28" s="75">
        <v>58.2</v>
      </c>
      <c r="O28" s="75">
        <v>13.1</v>
      </c>
      <c r="P28" s="75">
        <v>58.2</v>
      </c>
      <c r="Q28" s="75">
        <v>3.4</v>
      </c>
      <c r="R28" s="75">
        <f>IF($D28="Corn",
SUMIFS('Discount Schedules'!$I$6:$I$22,'Discount Schedules'!$F$6:$F$22,"Moisture",'Discount Schedules'!$G$6:$G$22,"&lt;="&amp;$O28,'Discount Schedules'!$H$6:$H$22,"&gt;="&amp;$O28)
+SUMIFS('Discount Schedules'!$I$6:$I$22,'Discount Schedules'!$F$6:$F$22,"Test Weight",'Discount Schedules'!$G$6:$G$22,"&lt;="&amp;$N28,'Discount Schedules'!$H$6:$H$22,"&gt;="&amp;$N28)
+SUMIFS('Discount Schedules'!$I$6:$I$22,'Discount Schedules'!$F$6:$F$22,"Damage",'Discount Schedules'!$G$6:$G$22,"&lt;="&amp;$P28,'Discount Schedules'!$H$6:$H$22,"&gt;="&amp;$P28)
+SUMIFS('Discount Schedules'!$I$6:$I$22,'Discount Schedules'!$F$6:$F$22,"FM",'Discount Schedules'!$G$6:$G$22,"&lt;="&amp;$Q28,'Discount Schedules'!$H$6:$H$22,"&gt;="&amp;$Q28),
IF($D28="Soybeans",
SUMIFS('Discount Schedules'!$N$6:$N$22,'Discount Schedules'!$K$6:$K$22,"Moisture",'Discount Schedules'!$L$6:$L$22,"&lt;="&amp;$O28,'Discount Schedules'!$M$6:$M$22,"&gt;="&amp;$O28)
+SUMIFS('Discount Schedules'!$N$6:$N$22,'Discount Schedules'!$K$6:$K$22,"Test Weight",'Discount Schedules'!$L$6:$L$22,"&lt;="&amp;$N28,'Discount Schedules'!$M$6:$M$22,"&gt;="&amp;$N28)
+SUMIFS('Discount Schedules'!$N$6:$N$22,'Discount Schedules'!$K$6:$K$22,"Damage",'Discount Schedules'!$L$6:$L$22,"&lt;="&amp;$P28,'Discount Schedules'!$M$6:$M$22,"&gt;="&amp;$P28)
+SUMIFS('Discount Schedules'!$N$6:$N$22,'Discount Schedules'!$K$6:$K$22,"FM",'Discount Schedules'!$L$6:$L$22,"&lt;="&amp;$Q28,'Discount Schedules'!$M$6:$M$22,"&gt;="&amp;$Q28),""))</f>
        <v>0.36</v>
      </c>
      <c r="S28" s="78">
        <f t="shared" si="1"/>
        <v>810</v>
      </c>
    </row>
    <row r="29" spans="1:19">
      <c r="A29" s="79" t="s">
        <v>120</v>
      </c>
      <c r="B29" s="80" t="s">
        <v>39</v>
      </c>
      <c r="C29" s="80" t="s">
        <v>96</v>
      </c>
      <c r="D29" s="80" t="s">
        <v>15</v>
      </c>
      <c r="E29" s="80" t="s">
        <v>82</v>
      </c>
      <c r="F29" s="80" t="s">
        <v>97</v>
      </c>
      <c r="G29" s="80" t="s">
        <v>98</v>
      </c>
      <c r="H29" s="81">
        <v>46267</v>
      </c>
      <c r="I29" s="82">
        <v>0.62013888888888891</v>
      </c>
      <c r="J29" s="82">
        <v>0.63055555555555554</v>
      </c>
      <c r="K29" s="80">
        <v>80420</v>
      </c>
      <c r="L29" s="80">
        <v>31820</v>
      </c>
      <c r="M29" s="80">
        <f t="shared" si="0"/>
        <v>48600</v>
      </c>
      <c r="N29" s="80">
        <v>56.7</v>
      </c>
      <c r="O29" s="80">
        <v>14.9</v>
      </c>
      <c r="P29" s="80">
        <v>1.7</v>
      </c>
      <c r="Q29" s="80">
        <v>0.8</v>
      </c>
      <c r="R29" s="80">
        <f>IF($D29="Corn",
SUMIFS('Discount Schedules'!$I$6:$I$22,'Discount Schedules'!$F$6:$F$22,"Moisture",'Discount Schedules'!$G$6:$G$22,"&lt;="&amp;$O29,'Discount Schedules'!$H$6:$H$22,"&gt;="&amp;$O29)
+SUMIFS('Discount Schedules'!$I$6:$I$22,'Discount Schedules'!$F$6:$F$22,"Test Weight",'Discount Schedules'!$G$6:$G$22,"&lt;="&amp;$N29,'Discount Schedules'!$H$6:$H$22,"&gt;="&amp;$N29)
+SUMIFS('Discount Schedules'!$I$6:$I$22,'Discount Schedules'!$F$6:$F$22,"Damage",'Discount Schedules'!$G$6:$G$22,"&lt;="&amp;$P29,'Discount Schedules'!$H$6:$H$22,"&gt;="&amp;$P29)
+SUMIFS('Discount Schedules'!$I$6:$I$22,'Discount Schedules'!$F$6:$F$22,"FM",'Discount Schedules'!$G$6:$G$22,"&lt;="&amp;$Q29,'Discount Schedules'!$H$6:$H$22,"&gt;="&amp;$Q29),
IF($D29="Soybeans",
SUMIFS('Discount Schedules'!$N$6:$N$22,'Discount Schedules'!$K$6:$K$22,"Moisture",'Discount Schedules'!$L$6:$L$22,"&lt;="&amp;$O29,'Discount Schedules'!$M$6:$M$22,"&gt;="&amp;$O29)
+SUMIFS('Discount Schedules'!$N$6:$N$22,'Discount Schedules'!$K$6:$K$22,"Test Weight",'Discount Schedules'!$L$6:$L$22,"&lt;="&amp;$N29,'Discount Schedules'!$M$6:$M$22,"&gt;="&amp;$N29)
+SUMIFS('Discount Schedules'!$N$6:$N$22,'Discount Schedules'!$K$6:$K$22,"Damage",'Discount Schedules'!$L$6:$L$22,"&lt;="&amp;$P29,'Discount Schedules'!$M$6:$M$22,"&gt;="&amp;$P29)
+SUMIFS('Discount Schedules'!$N$6:$N$22,'Discount Schedules'!$K$6:$K$22,"FM",'Discount Schedules'!$L$6:$L$22,"&lt;="&amp;$Q29,'Discount Schedules'!$M$6:$M$22,"&gt;="&amp;$Q29),""))</f>
        <v>0</v>
      </c>
      <c r="S29" s="83">
        <f t="shared" si="1"/>
        <v>868</v>
      </c>
    </row>
    <row r="30" spans="1:19">
      <c r="A30" s="74" t="s">
        <v>121</v>
      </c>
      <c r="B30" s="75" t="s">
        <v>49</v>
      </c>
      <c r="C30" s="75" t="s">
        <v>50</v>
      </c>
      <c r="D30" s="75" t="s">
        <v>43</v>
      </c>
      <c r="E30" s="75" t="s">
        <v>82</v>
      </c>
      <c r="F30" s="75" t="s">
        <v>89</v>
      </c>
      <c r="G30" s="75" t="s">
        <v>90</v>
      </c>
      <c r="H30" s="76">
        <v>46267</v>
      </c>
      <c r="I30" s="77">
        <v>0.63263888888888886</v>
      </c>
      <c r="J30" s="77">
        <v>0.64166666666666672</v>
      </c>
      <c r="K30" s="75">
        <v>79860</v>
      </c>
      <c r="L30" s="75">
        <v>30360</v>
      </c>
      <c r="M30" s="75">
        <f t="shared" si="0"/>
        <v>49500</v>
      </c>
      <c r="N30" s="75">
        <v>58.3</v>
      </c>
      <c r="O30" s="75">
        <v>13.2</v>
      </c>
      <c r="P30" s="75">
        <v>1.3</v>
      </c>
      <c r="Q30" s="75">
        <v>0.7</v>
      </c>
      <c r="R30" s="75">
        <f>IF($D30="Corn",
SUMIFS('Discount Schedules'!$I$6:$I$22,'Discount Schedules'!$F$6:$F$22,"Moisture",'Discount Schedules'!$G$6:$G$22,"&lt;="&amp;$O30,'Discount Schedules'!$H$6:$H$22,"&gt;="&amp;$O30)
+SUMIFS('Discount Schedules'!$I$6:$I$22,'Discount Schedules'!$F$6:$F$22,"Test Weight",'Discount Schedules'!$G$6:$G$22,"&lt;="&amp;$N30,'Discount Schedules'!$H$6:$H$22,"&gt;="&amp;$N30)
+SUMIFS('Discount Schedules'!$I$6:$I$22,'Discount Schedules'!$F$6:$F$22,"Damage",'Discount Schedules'!$G$6:$G$22,"&lt;="&amp;$P30,'Discount Schedules'!$H$6:$H$22,"&gt;="&amp;$P30)
+SUMIFS('Discount Schedules'!$I$6:$I$22,'Discount Schedules'!$F$6:$F$22,"FM",'Discount Schedules'!$G$6:$G$22,"&lt;="&amp;$Q30,'Discount Schedules'!$H$6:$H$22,"&gt;="&amp;$Q30),
IF($D30="Soybeans",
SUMIFS('Discount Schedules'!$N$6:$N$22,'Discount Schedules'!$K$6:$K$22,"Moisture",'Discount Schedules'!$L$6:$L$22,"&lt;="&amp;$O30,'Discount Schedules'!$M$6:$M$22,"&gt;="&amp;$O30)
+SUMIFS('Discount Schedules'!$N$6:$N$22,'Discount Schedules'!$K$6:$K$22,"Test Weight",'Discount Schedules'!$L$6:$L$22,"&lt;="&amp;$N30,'Discount Schedules'!$M$6:$M$22,"&gt;="&amp;$N30)
+SUMIFS('Discount Schedules'!$N$6:$N$22,'Discount Schedules'!$K$6:$K$22,"Damage",'Discount Schedules'!$L$6:$L$22,"&lt;="&amp;$P30,'Discount Schedules'!$M$6:$M$22,"&gt;="&amp;$P30)
+SUMIFS('Discount Schedules'!$N$6:$N$22,'Discount Schedules'!$K$6:$K$22,"FM",'Discount Schedules'!$L$6:$L$22,"&lt;="&amp;$Q30,'Discount Schedules'!$M$6:$M$22,"&gt;="&amp;$Q30),""))</f>
        <v>0.01</v>
      </c>
      <c r="S30" s="78">
        <f t="shared" si="1"/>
        <v>825</v>
      </c>
    </row>
    <row r="31" spans="1:19">
      <c r="A31" s="84" t="s">
        <v>122</v>
      </c>
      <c r="B31" s="85" t="s">
        <v>35</v>
      </c>
      <c r="C31" s="85" t="s">
        <v>36</v>
      </c>
      <c r="D31" s="85" t="s">
        <v>15</v>
      </c>
      <c r="E31" s="85" t="s">
        <v>82</v>
      </c>
      <c r="F31" s="85" t="s">
        <v>83</v>
      </c>
      <c r="G31" s="85" t="s">
        <v>84</v>
      </c>
      <c r="H31" s="86">
        <v>46267</v>
      </c>
      <c r="I31" s="87">
        <v>0.64513888888888893</v>
      </c>
      <c r="J31" s="87">
        <v>0.65416666666666667</v>
      </c>
      <c r="K31" s="85">
        <v>81280</v>
      </c>
      <c r="L31" s="85">
        <v>32180</v>
      </c>
      <c r="M31" s="85">
        <f t="shared" si="0"/>
        <v>49100</v>
      </c>
      <c r="N31" s="85">
        <v>56.8</v>
      </c>
      <c r="O31" s="85">
        <v>14.5</v>
      </c>
      <c r="P31" s="85">
        <v>1.8</v>
      </c>
      <c r="Q31" s="85">
        <v>0.9</v>
      </c>
      <c r="R31" s="85">
        <f>IF($D31="Corn",
SUMIFS('Discount Schedules'!$I$6:$I$22,'Discount Schedules'!$F$6:$F$22,"Moisture",'Discount Schedules'!$G$6:$G$22,"&lt;="&amp;$O31,'Discount Schedules'!$H$6:$H$22,"&gt;="&amp;$O31)
+SUMIFS('Discount Schedules'!$I$6:$I$22,'Discount Schedules'!$F$6:$F$22,"Test Weight",'Discount Schedules'!$G$6:$G$22,"&lt;="&amp;$N31,'Discount Schedules'!$H$6:$H$22,"&gt;="&amp;$N31)
+SUMIFS('Discount Schedules'!$I$6:$I$22,'Discount Schedules'!$F$6:$F$22,"Damage",'Discount Schedules'!$G$6:$G$22,"&lt;="&amp;$P31,'Discount Schedules'!$H$6:$H$22,"&gt;="&amp;$P31)
+SUMIFS('Discount Schedules'!$I$6:$I$22,'Discount Schedules'!$F$6:$F$22,"FM",'Discount Schedules'!$G$6:$G$22,"&lt;="&amp;$Q31,'Discount Schedules'!$H$6:$H$22,"&gt;="&amp;$Q31),
IF($D31="Soybeans",
SUMIFS('Discount Schedules'!$N$6:$N$22,'Discount Schedules'!$K$6:$K$22,"Moisture",'Discount Schedules'!$L$6:$L$22,"&lt;="&amp;$O31,'Discount Schedules'!$M$6:$M$22,"&gt;="&amp;$O31)
+SUMIFS('Discount Schedules'!$N$6:$N$22,'Discount Schedules'!$K$6:$K$22,"Test Weight",'Discount Schedules'!$L$6:$L$22,"&lt;="&amp;$N31,'Discount Schedules'!$M$6:$M$22,"&gt;="&amp;$N31)
+SUMIFS('Discount Schedules'!$N$6:$N$22,'Discount Schedules'!$K$6:$K$22,"Damage",'Discount Schedules'!$L$6:$L$22,"&lt;="&amp;$P31,'Discount Schedules'!$M$6:$M$22,"&gt;="&amp;$P31)
+SUMIFS('Discount Schedules'!$N$6:$N$22,'Discount Schedules'!$K$6:$K$22,"FM",'Discount Schedules'!$L$6:$L$22,"&lt;="&amp;$Q31,'Discount Schedules'!$M$6:$M$22,"&gt;="&amp;$Q31),""))</f>
        <v>0</v>
      </c>
      <c r="S31" s="88">
        <f t="shared" si="1"/>
        <v>877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E35E0-9C28-4C95-9D1B-D95A3D117E22}">
  <sheetPr>
    <tabColor rgb="FF00B0F0"/>
  </sheetPr>
  <dimension ref="F1:N22"/>
  <sheetViews>
    <sheetView showGridLines="0" workbookViewId="0">
      <selection activeCell="S17" sqref="S17"/>
    </sheetView>
  </sheetViews>
  <sheetFormatPr defaultRowHeight="15"/>
  <cols>
    <col min="1" max="1" width="9.85546875" customWidth="1"/>
    <col min="4" max="4" width="10.28515625" customWidth="1"/>
    <col min="6" max="6" width="10.85546875" customWidth="1"/>
    <col min="9" max="9" width="16.140625" customWidth="1"/>
    <col min="11" max="11" width="11.5703125" bestFit="1" customWidth="1"/>
    <col min="14" max="14" width="15" bestFit="1" customWidth="1"/>
  </cols>
  <sheetData>
    <row r="1" spans="6:14">
      <c r="F1" s="211" t="s">
        <v>123</v>
      </c>
      <c r="G1" s="212"/>
      <c r="H1" s="212"/>
      <c r="I1" s="212"/>
      <c r="J1" s="212"/>
      <c r="K1" s="212"/>
      <c r="L1" s="212"/>
      <c r="M1" s="212"/>
      <c r="N1" s="212"/>
    </row>
    <row r="2" spans="6:14">
      <c r="F2" s="212"/>
      <c r="G2" s="212"/>
      <c r="H2" s="212"/>
      <c r="I2" s="212"/>
      <c r="J2" s="212"/>
      <c r="K2" s="212"/>
      <c r="L2" s="212"/>
      <c r="M2" s="212"/>
      <c r="N2" s="212"/>
    </row>
    <row r="4" spans="6:14" ht="15.75">
      <c r="F4" s="208" t="s">
        <v>124</v>
      </c>
      <c r="G4" s="209"/>
      <c r="H4" s="209"/>
      <c r="I4" s="210"/>
      <c r="K4" s="205" t="s">
        <v>125</v>
      </c>
      <c r="L4" s="206"/>
      <c r="M4" s="206"/>
      <c r="N4" s="207"/>
    </row>
    <row r="5" spans="6:14">
      <c r="F5" s="6" t="s">
        <v>126</v>
      </c>
      <c r="G5" s="7" t="s">
        <v>127</v>
      </c>
      <c r="H5" s="7" t="s">
        <v>128</v>
      </c>
      <c r="I5" s="8" t="s">
        <v>129</v>
      </c>
      <c r="K5" s="6" t="s">
        <v>126</v>
      </c>
      <c r="L5" s="7" t="s">
        <v>127</v>
      </c>
      <c r="M5" s="7" t="s">
        <v>128</v>
      </c>
      <c r="N5" s="8" t="s">
        <v>129</v>
      </c>
    </row>
    <row r="6" spans="6:14">
      <c r="F6" s="9" t="s">
        <v>130</v>
      </c>
      <c r="G6" s="10">
        <v>15.1</v>
      </c>
      <c r="H6" s="10">
        <v>16</v>
      </c>
      <c r="I6" s="11">
        <v>0.02</v>
      </c>
      <c r="K6" s="9" t="s">
        <v>130</v>
      </c>
      <c r="L6" s="10">
        <v>13.1</v>
      </c>
      <c r="M6" s="10">
        <v>14</v>
      </c>
      <c r="N6" s="11">
        <v>0.01</v>
      </c>
    </row>
    <row r="7" spans="6:14">
      <c r="F7" s="3" t="s">
        <v>130</v>
      </c>
      <c r="G7" s="5">
        <v>16.100000000000001</v>
      </c>
      <c r="H7" s="5">
        <v>17</v>
      </c>
      <c r="I7" s="2">
        <v>0.04</v>
      </c>
      <c r="K7" s="3" t="s">
        <v>130</v>
      </c>
      <c r="L7" s="5">
        <v>14.1</v>
      </c>
      <c r="M7" s="5">
        <v>15</v>
      </c>
      <c r="N7" s="2">
        <v>0.03</v>
      </c>
    </row>
    <row r="8" spans="6:14">
      <c r="F8" s="9" t="s">
        <v>130</v>
      </c>
      <c r="G8" s="10">
        <v>17.100000000000001</v>
      </c>
      <c r="H8" s="10">
        <v>18</v>
      </c>
      <c r="I8" s="11">
        <v>0.08</v>
      </c>
      <c r="K8" s="9" t="s">
        <v>130</v>
      </c>
      <c r="L8" s="10">
        <v>15.1</v>
      </c>
      <c r="M8" s="10">
        <v>16</v>
      </c>
      <c r="N8" s="11">
        <v>0.06</v>
      </c>
    </row>
    <row r="9" spans="6:14">
      <c r="F9" s="3" t="s">
        <v>130</v>
      </c>
      <c r="G9" s="5">
        <v>18.100000000000001</v>
      </c>
      <c r="H9" s="5">
        <v>19</v>
      </c>
      <c r="I9" s="2">
        <v>0.12</v>
      </c>
      <c r="K9" s="3" t="s">
        <v>130</v>
      </c>
      <c r="L9" s="5">
        <v>16.100000000000001</v>
      </c>
      <c r="M9" s="5">
        <v>17</v>
      </c>
      <c r="N9" s="2">
        <v>0.1</v>
      </c>
    </row>
    <row r="10" spans="6:14">
      <c r="F10" s="9" t="s">
        <v>130</v>
      </c>
      <c r="G10" s="10">
        <v>19.100000000000001</v>
      </c>
      <c r="H10" s="10">
        <v>20</v>
      </c>
      <c r="I10" s="11">
        <v>0.18</v>
      </c>
      <c r="K10" s="9" t="s">
        <v>130</v>
      </c>
      <c r="L10" s="10">
        <v>17.100000000000001</v>
      </c>
      <c r="M10" s="10">
        <v>18</v>
      </c>
      <c r="N10" s="11">
        <v>0.15</v>
      </c>
    </row>
    <row r="11" spans="6:14">
      <c r="F11" s="3" t="s">
        <v>130</v>
      </c>
      <c r="G11" s="5">
        <v>20.100000000000001</v>
      </c>
      <c r="H11" s="5">
        <v>99.9</v>
      </c>
      <c r="I11" s="2">
        <v>0.25</v>
      </c>
      <c r="K11" s="3" t="s">
        <v>130</v>
      </c>
      <c r="L11" s="5">
        <v>18.100000000000001</v>
      </c>
      <c r="M11" s="5">
        <v>99.9</v>
      </c>
      <c r="N11" s="2">
        <v>0.25</v>
      </c>
    </row>
    <row r="12" spans="6:14">
      <c r="F12" s="9" t="s">
        <v>131</v>
      </c>
      <c r="G12" s="10">
        <v>54</v>
      </c>
      <c r="H12" s="10">
        <v>54.9</v>
      </c>
      <c r="I12" s="11">
        <v>0.02</v>
      </c>
      <c r="K12" s="9" t="s">
        <v>131</v>
      </c>
      <c r="L12" s="10">
        <v>55</v>
      </c>
      <c r="M12" s="10">
        <v>55.9</v>
      </c>
      <c r="N12" s="11">
        <v>0.02</v>
      </c>
    </row>
    <row r="13" spans="6:14">
      <c r="F13" s="3" t="s">
        <v>131</v>
      </c>
      <c r="G13" s="5">
        <v>53</v>
      </c>
      <c r="H13" s="5">
        <v>53.9</v>
      </c>
      <c r="I13" s="2">
        <v>0.05</v>
      </c>
      <c r="K13" s="3" t="s">
        <v>131</v>
      </c>
      <c r="L13" s="5">
        <v>54</v>
      </c>
      <c r="M13" s="5">
        <v>54.9</v>
      </c>
      <c r="N13" s="2">
        <v>0.05</v>
      </c>
    </row>
    <row r="14" spans="6:14">
      <c r="F14" s="9" t="s">
        <v>131</v>
      </c>
      <c r="G14" s="10">
        <v>52</v>
      </c>
      <c r="H14" s="10">
        <v>52.9</v>
      </c>
      <c r="I14" s="11">
        <v>0.1</v>
      </c>
      <c r="K14" s="9" t="s">
        <v>131</v>
      </c>
      <c r="L14" s="10">
        <v>53</v>
      </c>
      <c r="M14" s="10">
        <v>53.9</v>
      </c>
      <c r="N14" s="11">
        <v>0.1</v>
      </c>
    </row>
    <row r="15" spans="6:14">
      <c r="F15" s="3" t="s">
        <v>131</v>
      </c>
      <c r="G15" s="5">
        <v>51</v>
      </c>
      <c r="H15" s="5">
        <v>51.9</v>
      </c>
      <c r="I15" s="2">
        <v>0.15</v>
      </c>
      <c r="K15" s="3" t="s">
        <v>131</v>
      </c>
      <c r="L15" s="5">
        <v>52</v>
      </c>
      <c r="M15" s="5">
        <v>52.9</v>
      </c>
      <c r="N15" s="2">
        <v>0.15</v>
      </c>
    </row>
    <row r="16" spans="6:14">
      <c r="F16" s="9" t="s">
        <v>132</v>
      </c>
      <c r="G16" s="10">
        <v>3.1</v>
      </c>
      <c r="H16" s="10">
        <v>4</v>
      </c>
      <c r="I16" s="11">
        <v>0.03</v>
      </c>
      <c r="K16" s="9" t="s">
        <v>132</v>
      </c>
      <c r="L16" s="10">
        <v>3.1</v>
      </c>
      <c r="M16" s="10">
        <v>4</v>
      </c>
      <c r="N16" s="11">
        <v>0.03</v>
      </c>
    </row>
    <row r="17" spans="6:14">
      <c r="F17" s="3" t="s">
        <v>132</v>
      </c>
      <c r="G17" s="5">
        <v>4.0999999999999996</v>
      </c>
      <c r="H17" s="5">
        <v>5</v>
      </c>
      <c r="I17" s="2">
        <v>0.08</v>
      </c>
      <c r="K17" s="3" t="s">
        <v>132</v>
      </c>
      <c r="L17" s="5">
        <v>4.0999999999999996</v>
      </c>
      <c r="M17" s="5">
        <v>5</v>
      </c>
      <c r="N17" s="2">
        <v>0.08</v>
      </c>
    </row>
    <row r="18" spans="6:14">
      <c r="F18" s="9" t="s">
        <v>132</v>
      </c>
      <c r="G18" s="10">
        <v>5.0999999999999996</v>
      </c>
      <c r="H18" s="10">
        <v>6</v>
      </c>
      <c r="I18" s="11">
        <v>0.15</v>
      </c>
      <c r="K18" s="9" t="s">
        <v>132</v>
      </c>
      <c r="L18" s="10">
        <v>5.0999999999999996</v>
      </c>
      <c r="M18" s="10">
        <v>6</v>
      </c>
      <c r="N18" s="11">
        <v>0.15</v>
      </c>
    </row>
    <row r="19" spans="6:14">
      <c r="F19" s="3" t="s">
        <v>132</v>
      </c>
      <c r="G19" s="5">
        <v>6.1</v>
      </c>
      <c r="H19" s="5">
        <v>99.9</v>
      </c>
      <c r="I19" s="2">
        <v>0.25</v>
      </c>
      <c r="K19" s="3" t="s">
        <v>132</v>
      </c>
      <c r="L19" s="5">
        <v>6.1</v>
      </c>
      <c r="M19" s="5">
        <v>99.9</v>
      </c>
      <c r="N19" s="2">
        <v>0.25</v>
      </c>
    </row>
    <row r="20" spans="6:14">
      <c r="F20" s="9" t="s">
        <v>133</v>
      </c>
      <c r="G20" s="10">
        <v>1.1000000000000001</v>
      </c>
      <c r="H20" s="10">
        <v>2</v>
      </c>
      <c r="I20" s="11">
        <v>0.02</v>
      </c>
      <c r="K20" s="9" t="s">
        <v>133</v>
      </c>
      <c r="L20" s="10">
        <v>1.1000000000000001</v>
      </c>
      <c r="M20" s="10">
        <v>2</v>
      </c>
      <c r="N20" s="11">
        <v>0.02</v>
      </c>
    </row>
    <row r="21" spans="6:14">
      <c r="F21" s="3" t="s">
        <v>133</v>
      </c>
      <c r="G21" s="5">
        <v>2.1</v>
      </c>
      <c r="H21" s="5">
        <v>3</v>
      </c>
      <c r="I21" s="2">
        <v>0.05</v>
      </c>
      <c r="K21" s="3" t="s">
        <v>133</v>
      </c>
      <c r="L21" s="5">
        <v>2.1</v>
      </c>
      <c r="M21" s="5">
        <v>3</v>
      </c>
      <c r="N21" s="2">
        <v>0.05</v>
      </c>
    </row>
    <row r="22" spans="6:14">
      <c r="F22" s="12" t="s">
        <v>133</v>
      </c>
      <c r="G22" s="13">
        <v>3.1</v>
      </c>
      <c r="H22" s="13">
        <v>99.9</v>
      </c>
      <c r="I22" s="14">
        <v>0.1</v>
      </c>
      <c r="K22" s="12" t="s">
        <v>133</v>
      </c>
      <c r="L22" s="13">
        <v>3.1</v>
      </c>
      <c r="M22" s="13">
        <v>99.9</v>
      </c>
      <c r="N22" s="14">
        <v>0.1</v>
      </c>
    </row>
  </sheetData>
  <mergeCells count="3">
    <mergeCell ref="K4:N4"/>
    <mergeCell ref="F4:I4"/>
    <mergeCell ref="F1:N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9BD44-CE5A-4D30-BF39-697D9CC60AF6}">
  <sheetPr>
    <tabColor rgb="FF0070C0"/>
  </sheetPr>
  <dimension ref="A1:AC44"/>
  <sheetViews>
    <sheetView showGridLines="0" workbookViewId="0">
      <pane ySplit="1" topLeftCell="A2" activePane="bottomLeft" state="frozen"/>
      <selection pane="bottomLeft" activeCell="F22" sqref="F22:G22"/>
    </sheetView>
  </sheetViews>
  <sheetFormatPr defaultRowHeight="15.75"/>
  <cols>
    <col min="1" max="1" width="12.28515625" style="92" bestFit="1" customWidth="1"/>
    <col min="2" max="2" width="24.5703125" style="92" bestFit="1" customWidth="1"/>
    <col min="3" max="3" width="12.140625" style="92" bestFit="1" customWidth="1"/>
    <col min="4" max="4" width="17.140625" style="92" bestFit="1" customWidth="1"/>
    <col min="5" max="5" width="11.5703125" style="92" bestFit="1" customWidth="1"/>
    <col min="6" max="6" width="13.7109375" style="92" bestFit="1" customWidth="1"/>
    <col min="7" max="7" width="7" style="92" bestFit="1" customWidth="1"/>
    <col min="8" max="8" width="10.7109375" style="92" bestFit="1" customWidth="1"/>
    <col min="9" max="9" width="11.5703125" style="92" bestFit="1" customWidth="1"/>
    <col min="10" max="10" width="10.42578125" style="92" bestFit="1" customWidth="1"/>
    <col min="11" max="11" width="7.85546875" style="92" bestFit="1" customWidth="1"/>
    <col min="12" max="12" width="8.42578125" style="92" bestFit="1" customWidth="1"/>
    <col min="13" max="13" width="8.85546875" style="92" bestFit="1" customWidth="1"/>
    <col min="14" max="14" width="11.7109375" style="92" bestFit="1" customWidth="1"/>
    <col min="15" max="15" width="8" style="92" bestFit="1" customWidth="1"/>
    <col min="16" max="16" width="9.140625" style="92"/>
    <col min="17" max="17" width="26.5703125" style="92" bestFit="1" customWidth="1"/>
    <col min="18" max="18" width="17" style="92" bestFit="1" customWidth="1"/>
    <col min="19" max="19" width="13.85546875" style="92" bestFit="1" customWidth="1"/>
    <col min="20" max="20" width="12.85546875" style="92" customWidth="1"/>
    <col min="21" max="21" width="11.28515625" style="92" customWidth="1"/>
    <col min="22" max="22" width="14.42578125" style="92" customWidth="1"/>
    <col min="23" max="16384" width="9.140625" style="92"/>
  </cols>
  <sheetData>
    <row r="1" spans="1:29">
      <c r="A1" s="62" t="s">
        <v>134</v>
      </c>
      <c r="B1" s="89" t="s">
        <v>135</v>
      </c>
      <c r="C1" s="89" t="s">
        <v>2</v>
      </c>
      <c r="D1" s="89" t="s">
        <v>136</v>
      </c>
      <c r="E1" s="89" t="s">
        <v>4</v>
      </c>
      <c r="F1" s="89" t="s">
        <v>5</v>
      </c>
      <c r="G1" s="89" t="s">
        <v>6</v>
      </c>
      <c r="H1" s="89" t="s">
        <v>137</v>
      </c>
      <c r="I1" s="89" t="s">
        <v>138</v>
      </c>
      <c r="J1" s="89" t="s">
        <v>139</v>
      </c>
      <c r="K1" s="89" t="s">
        <v>140</v>
      </c>
      <c r="L1" s="89" t="s">
        <v>9</v>
      </c>
      <c r="M1" s="89" t="s">
        <v>141</v>
      </c>
      <c r="N1" s="89" t="s">
        <v>11</v>
      </c>
      <c r="O1" s="64" t="s">
        <v>12</v>
      </c>
      <c r="P1" s="73"/>
      <c r="Q1" s="90"/>
      <c r="R1" s="91"/>
      <c r="S1" s="91"/>
      <c r="T1" s="91"/>
      <c r="U1" s="91"/>
      <c r="V1" s="91"/>
      <c r="W1" s="73"/>
      <c r="X1" s="73"/>
      <c r="Y1" s="73"/>
      <c r="Z1" s="73"/>
      <c r="AA1" s="73"/>
      <c r="AB1" s="73"/>
      <c r="AC1" s="73"/>
    </row>
    <row r="2" spans="1:29">
      <c r="A2" s="93" t="s">
        <v>142</v>
      </c>
      <c r="B2" s="94" t="s">
        <v>143</v>
      </c>
      <c r="C2" s="94" t="s">
        <v>15</v>
      </c>
      <c r="D2" s="94" t="s">
        <v>144</v>
      </c>
      <c r="E2" s="95">
        <v>46079</v>
      </c>
      <c r="F2" s="94" t="s">
        <v>18</v>
      </c>
      <c r="G2" s="94">
        <v>4.87</v>
      </c>
      <c r="H2" s="96">
        <v>-0.12</v>
      </c>
      <c r="I2" s="96">
        <f>_xlfn.XLOOKUP($D2,$D$19:$D$25,$F$19:$F$25)</f>
        <v>-0.02</v>
      </c>
      <c r="J2" s="96">
        <f>H2+I2</f>
        <v>-0.13999999999999999</v>
      </c>
      <c r="K2" s="96">
        <f>G2+J2</f>
        <v>4.7300000000000004</v>
      </c>
      <c r="L2" s="97">
        <v>8000</v>
      </c>
      <c r="M2" s="94">
        <f>SUMIF('Outbound Scale Tickets'!$B:$B,$A2,'Outbound Scale Tickets'!$S:$S)</f>
        <v>1713.2142857142858</v>
      </c>
      <c r="N2" s="138">
        <f>$L2-$M2</f>
        <v>6286.7857142857138</v>
      </c>
      <c r="O2" s="98">
        <f>($M2/$L2)</f>
        <v>0.21415178571428573</v>
      </c>
      <c r="P2" s="73"/>
      <c r="Q2" s="91"/>
      <c r="R2" s="91"/>
      <c r="S2" s="91"/>
      <c r="T2" s="91"/>
      <c r="U2" s="91"/>
      <c r="V2" s="91"/>
      <c r="W2" s="73"/>
      <c r="X2" s="73"/>
      <c r="Y2" s="73"/>
      <c r="Z2" s="73"/>
      <c r="AA2" s="73"/>
      <c r="AB2" s="73"/>
      <c r="AC2" s="73"/>
    </row>
    <row r="3" spans="1:29">
      <c r="A3" s="93" t="s">
        <v>145</v>
      </c>
      <c r="B3" s="94" t="s">
        <v>146</v>
      </c>
      <c r="C3" s="94" t="s">
        <v>15</v>
      </c>
      <c r="D3" s="94" t="s">
        <v>147</v>
      </c>
      <c r="E3" s="95">
        <v>46107</v>
      </c>
      <c r="F3" s="94" t="s">
        <v>18</v>
      </c>
      <c r="G3" s="94">
        <v>4.92</v>
      </c>
      <c r="H3" s="96">
        <v>-0.15</v>
      </c>
      <c r="I3" s="96">
        <f>_xlfn.XLOOKUP($D3,$D$19:$D$25,$F$19:$F$25)</f>
        <v>-0.08</v>
      </c>
      <c r="J3" s="96">
        <f t="shared" ref="J3:J14" si="0">H3+I3</f>
        <v>-0.22999999999999998</v>
      </c>
      <c r="K3" s="96">
        <f t="shared" ref="K3:K14" si="1">G3+J3</f>
        <v>4.6899999999999995</v>
      </c>
      <c r="L3" s="97">
        <v>12000</v>
      </c>
      <c r="M3" s="94">
        <f>SUMIF('Outbound Scale Tickets'!$B:$B,$A3,'Outbound Scale Tickets'!$S:$S)</f>
        <v>867.5</v>
      </c>
      <c r="N3" s="138">
        <f t="shared" ref="N3:N14" si="2">$L3-$M3</f>
        <v>11132.5</v>
      </c>
      <c r="O3" s="98">
        <f t="shared" ref="O3:O14" si="3">($M3/$L3)</f>
        <v>7.2291666666666671E-2</v>
      </c>
      <c r="P3" s="73"/>
      <c r="Q3" s="73"/>
      <c r="R3" s="73"/>
      <c r="S3" s="73"/>
      <c r="T3" s="73"/>
      <c r="U3" s="73"/>
      <c r="V3" s="73"/>
      <c r="W3" s="73"/>
      <c r="X3" s="73"/>
      <c r="Y3" s="73"/>
      <c r="Z3" s="73"/>
      <c r="AA3" s="73"/>
      <c r="AB3" s="73"/>
      <c r="AC3" s="73"/>
    </row>
    <row r="4" spans="1:29">
      <c r="A4" s="93" t="s">
        <v>148</v>
      </c>
      <c r="B4" s="94" t="s">
        <v>149</v>
      </c>
      <c r="C4" s="94" t="s">
        <v>15</v>
      </c>
      <c r="D4" s="94" t="s">
        <v>150</v>
      </c>
      <c r="E4" s="95">
        <v>46199</v>
      </c>
      <c r="F4" s="94" t="s">
        <v>27</v>
      </c>
      <c r="G4" s="94">
        <v>5.08</v>
      </c>
      <c r="H4" s="96">
        <v>-0.08</v>
      </c>
      <c r="I4" s="96">
        <f>_xlfn.XLOOKUP($D4,$D$19:$D$25,$F$19:$F$25)</f>
        <v>-0.12</v>
      </c>
      <c r="J4" s="96">
        <f t="shared" si="0"/>
        <v>-0.2</v>
      </c>
      <c r="K4" s="96">
        <f t="shared" si="1"/>
        <v>4.88</v>
      </c>
      <c r="L4" s="97">
        <v>10000</v>
      </c>
      <c r="M4" s="94">
        <f>SUMIF('Outbound Scale Tickets'!$B:$B,$A4,'Outbound Scale Tickets'!$S:$S)</f>
        <v>875.71428571428567</v>
      </c>
      <c r="N4" s="138">
        <f t="shared" si="2"/>
        <v>9124.2857142857138</v>
      </c>
      <c r="O4" s="98">
        <f t="shared" si="3"/>
        <v>8.7571428571428564E-2</v>
      </c>
      <c r="P4" s="73"/>
      <c r="Q4" s="73"/>
      <c r="R4" s="73"/>
      <c r="S4" s="73"/>
      <c r="T4" s="73"/>
      <c r="U4" s="73"/>
      <c r="V4" s="73"/>
      <c r="W4" s="73"/>
      <c r="X4" s="73"/>
      <c r="Y4" s="73"/>
      <c r="Z4" s="73"/>
      <c r="AA4" s="73"/>
      <c r="AB4" s="73"/>
      <c r="AC4" s="73"/>
    </row>
    <row r="5" spans="1:29">
      <c r="A5" s="93" t="s">
        <v>151</v>
      </c>
      <c r="B5" s="94" t="s">
        <v>152</v>
      </c>
      <c r="C5" s="94" t="s">
        <v>15</v>
      </c>
      <c r="D5" s="94" t="s">
        <v>153</v>
      </c>
      <c r="E5" s="95">
        <v>46291</v>
      </c>
      <c r="F5" s="94" t="s">
        <v>34</v>
      </c>
      <c r="G5" s="94">
        <v>5.01</v>
      </c>
      <c r="H5" s="96">
        <v>0.05</v>
      </c>
      <c r="I5" s="96">
        <f>_xlfn.XLOOKUP($D5,$D$19:$D$25,$F$19:$F$25)</f>
        <v>-0.15</v>
      </c>
      <c r="J5" s="96">
        <f t="shared" si="0"/>
        <v>-9.9999999999999992E-2</v>
      </c>
      <c r="K5" s="96">
        <f t="shared" si="1"/>
        <v>4.91</v>
      </c>
      <c r="L5" s="97">
        <v>15000</v>
      </c>
      <c r="M5" s="94">
        <f>SUMIF('Outbound Scale Tickets'!$B:$B,$A5,'Outbound Scale Tickets'!$S:$S)</f>
        <v>883.57142857142856</v>
      </c>
      <c r="N5" s="138">
        <f t="shared" si="2"/>
        <v>14116.428571428571</v>
      </c>
      <c r="O5" s="98">
        <f t="shared" si="3"/>
        <v>5.8904761904761904E-2</v>
      </c>
      <c r="P5" s="73"/>
      <c r="Q5" s="73"/>
      <c r="R5" s="73"/>
      <c r="S5" s="73"/>
      <c r="T5" s="73"/>
      <c r="U5" s="73"/>
      <c r="V5" s="73"/>
      <c r="W5" s="73"/>
      <c r="X5" s="73"/>
      <c r="Y5" s="73"/>
      <c r="Z5" s="73"/>
      <c r="AA5" s="73"/>
      <c r="AB5" s="73"/>
      <c r="AC5" s="73"/>
    </row>
    <row r="6" spans="1:29">
      <c r="A6" s="93" t="s">
        <v>154</v>
      </c>
      <c r="B6" s="94" t="s">
        <v>155</v>
      </c>
      <c r="C6" s="94" t="s">
        <v>15</v>
      </c>
      <c r="D6" s="94" t="s">
        <v>156</v>
      </c>
      <c r="E6" s="94" t="s">
        <v>37</v>
      </c>
      <c r="F6" s="94" t="s">
        <v>38</v>
      </c>
      <c r="G6" s="94">
        <v>4.78</v>
      </c>
      <c r="H6" s="96">
        <v>-0.05</v>
      </c>
      <c r="I6" s="96">
        <f>_xlfn.XLOOKUP($D6,$D$19:$D$25,$F$19:$F$25)</f>
        <v>-0.1</v>
      </c>
      <c r="J6" s="96">
        <f t="shared" si="0"/>
        <v>-0.15000000000000002</v>
      </c>
      <c r="K6" s="96">
        <f t="shared" si="1"/>
        <v>4.63</v>
      </c>
      <c r="L6" s="97">
        <v>10000</v>
      </c>
      <c r="M6" s="94">
        <f>SUMIF('Outbound Scale Tickets'!$B:$B,$A6,'Outbound Scale Tickets'!$S:$S)</f>
        <v>869.64285714285711</v>
      </c>
      <c r="N6" s="138">
        <f t="shared" si="2"/>
        <v>9130.3571428571431</v>
      </c>
      <c r="O6" s="98">
        <f t="shared" si="3"/>
        <v>8.6964285714285716E-2</v>
      </c>
      <c r="P6" s="73"/>
      <c r="Q6" s="73"/>
      <c r="R6" s="73"/>
      <c r="S6" s="73"/>
      <c r="T6" s="73"/>
      <c r="U6" s="73"/>
      <c r="V6" s="73"/>
      <c r="W6" s="73"/>
      <c r="X6" s="73"/>
      <c r="Y6" s="73"/>
      <c r="Z6" s="73"/>
      <c r="AA6" s="73"/>
      <c r="AB6" s="73"/>
      <c r="AC6" s="73"/>
    </row>
    <row r="7" spans="1:29">
      <c r="A7" s="93" t="s">
        <v>157</v>
      </c>
      <c r="B7" s="94" t="s">
        <v>158</v>
      </c>
      <c r="C7" s="94" t="s">
        <v>15</v>
      </c>
      <c r="D7" s="94" t="s">
        <v>159</v>
      </c>
      <c r="E7" s="95">
        <v>46260</v>
      </c>
      <c r="F7" s="94" t="s">
        <v>34</v>
      </c>
      <c r="G7" s="94">
        <v>5.12</v>
      </c>
      <c r="H7" s="96">
        <v>-0.1</v>
      </c>
      <c r="I7" s="96">
        <f>_xlfn.XLOOKUP($D7,$D$19:$D$25,$F$19:$F$25)</f>
        <v>-0.06</v>
      </c>
      <c r="J7" s="96">
        <f t="shared" si="0"/>
        <v>-0.16</v>
      </c>
      <c r="K7" s="96">
        <f t="shared" si="1"/>
        <v>4.96</v>
      </c>
      <c r="L7" s="97">
        <v>9000</v>
      </c>
      <c r="M7" s="94">
        <f>SUMIF('Outbound Scale Tickets'!$B:$B,$A7,'Outbound Scale Tickets'!$S:$S)</f>
        <v>878.57142857142856</v>
      </c>
      <c r="N7" s="138">
        <f t="shared" si="2"/>
        <v>8121.4285714285716</v>
      </c>
      <c r="O7" s="98">
        <f t="shared" si="3"/>
        <v>9.7619047619047619E-2</v>
      </c>
      <c r="P7" s="73"/>
      <c r="Q7" s="73"/>
      <c r="R7" s="73"/>
      <c r="S7" s="73"/>
      <c r="T7" s="73"/>
      <c r="U7" s="73"/>
      <c r="V7" s="73"/>
      <c r="W7" s="73"/>
      <c r="X7" s="73"/>
      <c r="Y7" s="73"/>
      <c r="Z7" s="73"/>
      <c r="AA7" s="73"/>
      <c r="AB7" s="73"/>
      <c r="AC7" s="73"/>
    </row>
    <row r="8" spans="1:29">
      <c r="A8" s="99" t="s">
        <v>160</v>
      </c>
      <c r="B8" s="100" t="s">
        <v>161</v>
      </c>
      <c r="C8" s="100" t="s">
        <v>15</v>
      </c>
      <c r="D8" s="100" t="s">
        <v>144</v>
      </c>
      <c r="E8" s="101">
        <v>46352</v>
      </c>
      <c r="F8" s="100" t="s">
        <v>38</v>
      </c>
      <c r="G8" s="100">
        <v>4.8499999999999996</v>
      </c>
      <c r="H8" s="102">
        <v>-0.18</v>
      </c>
      <c r="I8" s="96">
        <f>_xlfn.XLOOKUP($D8,$D$19:$D$25,$F$19:$F$25)</f>
        <v>-0.02</v>
      </c>
      <c r="J8" s="96">
        <f t="shared" si="0"/>
        <v>-0.19999999999999998</v>
      </c>
      <c r="K8" s="96">
        <f t="shared" si="1"/>
        <v>4.6499999999999995</v>
      </c>
      <c r="L8" s="97">
        <v>11000</v>
      </c>
      <c r="M8" s="94">
        <f>SUMIF('Outbound Scale Tickets'!$B:$B,$A8,'Outbound Scale Tickets'!$S:$S)</f>
        <v>887.5</v>
      </c>
      <c r="N8" s="138">
        <f t="shared" si="2"/>
        <v>10112.5</v>
      </c>
      <c r="O8" s="98">
        <f t="shared" si="3"/>
        <v>8.0681818181818188E-2</v>
      </c>
      <c r="P8" s="73"/>
      <c r="Q8" s="73"/>
      <c r="R8" s="73"/>
      <c r="S8" s="73"/>
      <c r="T8" s="73"/>
      <c r="U8" s="73"/>
      <c r="V8" s="73"/>
      <c r="W8" s="73"/>
      <c r="X8" s="73"/>
      <c r="Y8" s="73"/>
      <c r="Z8" s="73"/>
      <c r="AA8" s="73"/>
      <c r="AB8" s="73"/>
      <c r="AC8" s="73"/>
    </row>
    <row r="9" spans="1:29">
      <c r="A9" s="103" t="s">
        <v>162</v>
      </c>
      <c r="B9" s="104" t="s">
        <v>163</v>
      </c>
      <c r="C9" s="104" t="s">
        <v>43</v>
      </c>
      <c r="D9" s="104" t="s">
        <v>159</v>
      </c>
      <c r="E9" s="105">
        <v>46260</v>
      </c>
      <c r="F9" s="104" t="s">
        <v>45</v>
      </c>
      <c r="G9" s="104">
        <v>10.58</v>
      </c>
      <c r="H9" s="106">
        <v>-0.2</v>
      </c>
      <c r="I9" s="96">
        <f>_xlfn.XLOOKUP($D9,$D$19:$D$25,$F$19:$F$25)</f>
        <v>-0.06</v>
      </c>
      <c r="J9" s="96">
        <f t="shared" si="0"/>
        <v>-0.26</v>
      </c>
      <c r="K9" s="96">
        <f t="shared" si="1"/>
        <v>10.32</v>
      </c>
      <c r="L9" s="97">
        <v>6000</v>
      </c>
      <c r="M9" s="94">
        <f>SUMIF('Outbound Scale Tickets'!$B:$B,$A9,'Outbound Scale Tickets'!$S:$S)</f>
        <v>816.66666666666663</v>
      </c>
      <c r="N9" s="138">
        <f t="shared" si="2"/>
        <v>5183.333333333333</v>
      </c>
      <c r="O9" s="98">
        <f t="shared" si="3"/>
        <v>0.1361111111111111</v>
      </c>
      <c r="P9" s="73"/>
      <c r="Q9" s="73"/>
      <c r="R9" s="73"/>
      <c r="S9" s="73"/>
      <c r="T9" s="73"/>
      <c r="U9" s="73"/>
      <c r="V9" s="73"/>
      <c r="W9" s="73"/>
      <c r="X9" s="73"/>
      <c r="Y9" s="73"/>
      <c r="Z9" s="73"/>
      <c r="AA9" s="73"/>
      <c r="AB9" s="73"/>
      <c r="AC9" s="73"/>
    </row>
    <row r="10" spans="1:29">
      <c r="A10" s="107" t="s">
        <v>164</v>
      </c>
      <c r="B10" s="92" t="s">
        <v>165</v>
      </c>
      <c r="C10" s="92" t="s">
        <v>43</v>
      </c>
      <c r="D10" s="92" t="s">
        <v>153</v>
      </c>
      <c r="E10" s="92" t="s">
        <v>37</v>
      </c>
      <c r="F10" s="92" t="s">
        <v>51</v>
      </c>
      <c r="G10" s="92">
        <v>10.95</v>
      </c>
      <c r="H10" s="108">
        <v>0.1</v>
      </c>
      <c r="I10" s="96">
        <f>_xlfn.XLOOKUP($D10,$D$19:$D$25,$F$19:$F$25)</f>
        <v>-0.15</v>
      </c>
      <c r="J10" s="96">
        <f t="shared" si="0"/>
        <v>-4.9999999999999989E-2</v>
      </c>
      <c r="K10" s="96">
        <f t="shared" si="1"/>
        <v>10.899999999999999</v>
      </c>
      <c r="L10" s="97">
        <v>10000</v>
      </c>
      <c r="M10" s="94">
        <f>SUMIF('Outbound Scale Tickets'!$B:$B,$A10,'Outbound Scale Tickets'!$S:$S)</f>
        <v>830</v>
      </c>
      <c r="N10" s="138">
        <f t="shared" si="2"/>
        <v>9170</v>
      </c>
      <c r="O10" s="98">
        <f t="shared" si="3"/>
        <v>8.3000000000000004E-2</v>
      </c>
      <c r="P10" s="73"/>
      <c r="Q10" s="73"/>
      <c r="R10" s="73"/>
      <c r="S10" s="73"/>
      <c r="T10" s="73"/>
      <c r="U10" s="73"/>
      <c r="V10" s="73"/>
      <c r="W10" s="73"/>
      <c r="X10" s="73"/>
      <c r="Y10" s="73"/>
      <c r="Z10" s="73"/>
      <c r="AA10" s="73"/>
      <c r="AB10" s="73"/>
      <c r="AC10" s="73"/>
    </row>
    <row r="11" spans="1:29">
      <c r="A11" s="93" t="s">
        <v>166</v>
      </c>
      <c r="B11" s="94" t="s">
        <v>167</v>
      </c>
      <c r="C11" s="94" t="s">
        <v>43</v>
      </c>
      <c r="D11" s="94" t="s">
        <v>150</v>
      </c>
      <c r="E11" s="95">
        <v>46352</v>
      </c>
      <c r="F11" s="94" t="s">
        <v>51</v>
      </c>
      <c r="G11" s="94">
        <v>11.05</v>
      </c>
      <c r="H11" s="96">
        <v>-0.15</v>
      </c>
      <c r="I11" s="96">
        <f>_xlfn.XLOOKUP($D11,$D$19:$D$25,$F$19:$F$25)</f>
        <v>-0.12</v>
      </c>
      <c r="J11" s="96">
        <f t="shared" si="0"/>
        <v>-0.27</v>
      </c>
      <c r="K11" s="96">
        <f t="shared" si="1"/>
        <v>10.780000000000001</v>
      </c>
      <c r="L11" s="97">
        <v>7000</v>
      </c>
      <c r="M11" s="94">
        <f>SUMIF('Outbound Scale Tickets'!$B:$B,$A11,'Outbound Scale Tickets'!$S:$S)</f>
        <v>823.33333333333337</v>
      </c>
      <c r="N11" s="138">
        <f t="shared" si="2"/>
        <v>6176.666666666667</v>
      </c>
      <c r="O11" s="98">
        <f t="shared" si="3"/>
        <v>0.11761904761904762</v>
      </c>
      <c r="P11" s="73"/>
      <c r="Q11" s="73"/>
      <c r="R11" s="73"/>
      <c r="S11" s="73"/>
      <c r="T11" s="73"/>
      <c r="U11" s="73"/>
      <c r="V11" s="73"/>
      <c r="W11" s="73"/>
      <c r="X11" s="73"/>
      <c r="Y11" s="73"/>
      <c r="Z11" s="73"/>
      <c r="AA11" s="73"/>
      <c r="AB11" s="73"/>
      <c r="AC11" s="73"/>
    </row>
    <row r="12" spans="1:29">
      <c r="A12" s="93" t="s">
        <v>168</v>
      </c>
      <c r="B12" s="94" t="s">
        <v>169</v>
      </c>
      <c r="C12" s="94" t="s">
        <v>43</v>
      </c>
      <c r="D12" s="94" t="s">
        <v>144</v>
      </c>
      <c r="E12" s="95">
        <v>46291</v>
      </c>
      <c r="F12" s="94" t="s">
        <v>48</v>
      </c>
      <c r="G12" s="94">
        <v>10.72</v>
      </c>
      <c r="H12" s="96">
        <v>-0.1</v>
      </c>
      <c r="I12" s="96">
        <f>_xlfn.XLOOKUP($D12,$D$19:$D$25,$F$19:$F$25)</f>
        <v>-0.02</v>
      </c>
      <c r="J12" s="96">
        <f t="shared" si="0"/>
        <v>-0.12000000000000001</v>
      </c>
      <c r="K12" s="96">
        <f t="shared" si="1"/>
        <v>10.600000000000001</v>
      </c>
      <c r="L12" s="97">
        <v>8000</v>
      </c>
      <c r="M12" s="94">
        <f>SUMIF('Outbound Scale Tickets'!$B:$B,$A12,'Outbound Scale Tickets'!$S:$S)</f>
        <v>0</v>
      </c>
      <c r="N12" s="138">
        <f t="shared" si="2"/>
        <v>8000</v>
      </c>
      <c r="O12" s="98">
        <f t="shared" si="3"/>
        <v>0</v>
      </c>
      <c r="P12" s="73"/>
      <c r="Q12" s="73"/>
      <c r="R12" s="73"/>
      <c r="S12" s="73"/>
      <c r="T12" s="73"/>
      <c r="U12" s="73"/>
      <c r="V12" s="73"/>
      <c r="W12" s="73"/>
      <c r="X12" s="73"/>
      <c r="Y12" s="73"/>
      <c r="Z12" s="73"/>
      <c r="AA12" s="73"/>
      <c r="AB12" s="73"/>
      <c r="AC12" s="73"/>
    </row>
    <row r="13" spans="1:29">
      <c r="A13" s="93" t="s">
        <v>170</v>
      </c>
      <c r="B13" s="94" t="s">
        <v>171</v>
      </c>
      <c r="C13" s="94" t="s">
        <v>43</v>
      </c>
      <c r="D13" s="94" t="s">
        <v>147</v>
      </c>
      <c r="E13" s="95">
        <v>46321</v>
      </c>
      <c r="F13" s="94" t="s">
        <v>51</v>
      </c>
      <c r="G13" s="94">
        <v>10.88</v>
      </c>
      <c r="H13" s="96">
        <v>-0.12</v>
      </c>
      <c r="I13" s="96">
        <f>_xlfn.XLOOKUP($D13,$D$19:$D$25,$F$19:$F$25)</f>
        <v>-0.08</v>
      </c>
      <c r="J13" s="96">
        <f t="shared" si="0"/>
        <v>-0.2</v>
      </c>
      <c r="K13" s="96">
        <f t="shared" si="1"/>
        <v>10.680000000000001</v>
      </c>
      <c r="L13" s="97">
        <v>9000</v>
      </c>
      <c r="M13" s="94">
        <f>SUMIF('Outbound Scale Tickets'!$B:$B,$A13,'Outbound Scale Tickets'!$S:$S)</f>
        <v>0</v>
      </c>
      <c r="N13" s="138">
        <f t="shared" si="2"/>
        <v>9000</v>
      </c>
      <c r="O13" s="98">
        <f t="shared" si="3"/>
        <v>0</v>
      </c>
      <c r="P13" s="73"/>
      <c r="Q13" s="73"/>
      <c r="R13" s="73"/>
      <c r="S13" s="73"/>
      <c r="T13" s="73"/>
      <c r="U13" s="73"/>
      <c r="V13" s="73"/>
      <c r="W13" s="73"/>
      <c r="X13" s="73"/>
      <c r="Y13" s="73"/>
      <c r="Z13" s="73"/>
      <c r="AA13" s="73"/>
      <c r="AB13" s="73"/>
      <c r="AC13" s="73"/>
    </row>
    <row r="14" spans="1:29">
      <c r="A14" s="93" t="s">
        <v>172</v>
      </c>
      <c r="B14" s="94" t="s">
        <v>173</v>
      </c>
      <c r="C14" s="94" t="s">
        <v>43</v>
      </c>
      <c r="D14" s="94" t="s">
        <v>153</v>
      </c>
      <c r="E14" s="95">
        <v>46352</v>
      </c>
      <c r="F14" s="94" t="s">
        <v>51</v>
      </c>
      <c r="G14" s="94">
        <v>11.12</v>
      </c>
      <c r="H14" s="96">
        <v>0.08</v>
      </c>
      <c r="I14" s="96">
        <f>_xlfn.XLOOKUP($D14,$D$19:$D$25,$F$19:$F$25)</f>
        <v>-0.15</v>
      </c>
      <c r="J14" s="96">
        <f t="shared" si="0"/>
        <v>-6.9999999999999993E-2</v>
      </c>
      <c r="K14" s="96">
        <f t="shared" si="1"/>
        <v>11.049999999999999</v>
      </c>
      <c r="L14" s="97">
        <v>12000</v>
      </c>
      <c r="M14" s="94">
        <f>SUMIF('Outbound Scale Tickets'!$B:$B,$A14,'Outbound Scale Tickets'!$S:$S)</f>
        <v>0</v>
      </c>
      <c r="N14" s="138">
        <f t="shared" si="2"/>
        <v>12000</v>
      </c>
      <c r="O14" s="98">
        <f t="shared" si="3"/>
        <v>0</v>
      </c>
      <c r="P14" s="73"/>
      <c r="Q14" s="73"/>
      <c r="R14" s="73"/>
      <c r="S14" s="73"/>
      <c r="T14" s="73"/>
      <c r="U14" s="73"/>
      <c r="V14" s="73"/>
      <c r="W14" s="73"/>
      <c r="X14" s="73"/>
      <c r="Y14" s="73"/>
      <c r="Z14" s="73"/>
      <c r="AA14" s="73"/>
      <c r="AB14" s="73"/>
      <c r="AC14" s="73"/>
    </row>
    <row r="15" spans="1:29" ht="15" customHeight="1">
      <c r="A15" s="73"/>
      <c r="B15" s="73"/>
      <c r="C15" s="109"/>
      <c r="D15" s="110"/>
      <c r="E15" s="110"/>
      <c r="F15" s="110"/>
      <c r="G15" s="110"/>
      <c r="H15" s="110"/>
      <c r="I15" s="73"/>
      <c r="J15" s="73"/>
      <c r="K15" s="73"/>
      <c r="L15" s="73"/>
      <c r="M15" s="73"/>
      <c r="N15" s="73"/>
      <c r="O15" s="73"/>
      <c r="P15" s="73"/>
      <c r="Q15" s="73"/>
      <c r="R15" s="73"/>
      <c r="S15" s="73"/>
      <c r="T15" s="73"/>
      <c r="U15" s="73"/>
      <c r="V15" s="73"/>
      <c r="W15" s="73"/>
      <c r="X15" s="73"/>
      <c r="Y15" s="73"/>
      <c r="Z15" s="73"/>
      <c r="AA15" s="73"/>
      <c r="AB15" s="73"/>
      <c r="AC15" s="73"/>
    </row>
    <row r="16" spans="1:29" ht="15" customHeight="1">
      <c r="A16" s="73"/>
      <c r="B16" s="73"/>
      <c r="C16" s="213"/>
      <c r="D16" s="213"/>
      <c r="E16" s="213"/>
      <c r="F16" s="213"/>
      <c r="G16" s="213"/>
      <c r="H16" s="213"/>
      <c r="I16" s="73"/>
      <c r="J16" s="73"/>
      <c r="K16" s="73"/>
      <c r="L16" s="73"/>
      <c r="M16" s="73"/>
      <c r="N16" s="73"/>
      <c r="O16" s="73"/>
      <c r="P16" s="73"/>
      <c r="Q16" s="73"/>
      <c r="R16" s="73"/>
      <c r="S16" s="73"/>
      <c r="T16" s="73"/>
      <c r="U16" s="73"/>
      <c r="V16" s="73"/>
      <c r="W16" s="73"/>
      <c r="X16" s="73"/>
      <c r="Y16" s="73"/>
      <c r="Z16" s="73"/>
      <c r="AA16" s="73"/>
      <c r="AB16" s="73"/>
      <c r="AC16" s="73"/>
    </row>
    <row r="17" spans="1:29">
      <c r="A17" s="73"/>
      <c r="B17" s="73"/>
      <c r="C17" s="73"/>
      <c r="D17" s="220" t="s">
        <v>174</v>
      </c>
      <c r="E17" s="221"/>
      <c r="F17" s="221"/>
      <c r="G17" s="222"/>
      <c r="H17" s="73"/>
      <c r="I17" s="73"/>
      <c r="J17" s="73"/>
      <c r="K17" s="73"/>
      <c r="L17" s="73"/>
      <c r="M17" s="73"/>
      <c r="N17" s="73"/>
      <c r="O17" s="73"/>
      <c r="P17" s="73"/>
      <c r="Q17" s="73"/>
      <c r="R17" s="73"/>
      <c r="S17" s="73"/>
      <c r="T17" s="73"/>
      <c r="U17" s="73"/>
      <c r="V17" s="73"/>
      <c r="W17" s="73"/>
      <c r="X17" s="73"/>
      <c r="Y17" s="73"/>
      <c r="Z17" s="73"/>
      <c r="AA17" s="73"/>
      <c r="AB17" s="73"/>
      <c r="AC17" s="73"/>
    </row>
    <row r="18" spans="1:29">
      <c r="A18" s="73"/>
      <c r="B18" s="73"/>
      <c r="C18" s="73"/>
      <c r="D18" s="218" t="s">
        <v>175</v>
      </c>
      <c r="E18" s="219"/>
      <c r="F18" s="216" t="s">
        <v>176</v>
      </c>
      <c r="G18" s="217"/>
      <c r="H18" s="73"/>
      <c r="I18" s="73"/>
      <c r="J18" s="73"/>
      <c r="K18" s="73"/>
      <c r="L18" s="73"/>
      <c r="M18" s="73"/>
      <c r="N18" s="73"/>
      <c r="O18" s="73"/>
      <c r="P18" s="73"/>
      <c r="Q18" s="73"/>
      <c r="R18" s="73"/>
      <c r="S18" s="73"/>
      <c r="T18" s="73"/>
      <c r="U18" s="73"/>
      <c r="V18" s="73"/>
      <c r="W18" s="73"/>
      <c r="X18" s="73"/>
      <c r="Y18" s="73"/>
      <c r="Z18" s="73"/>
      <c r="AA18" s="73"/>
      <c r="AB18" s="73"/>
      <c r="AC18" s="73"/>
    </row>
    <row r="19" spans="1:29">
      <c r="A19" s="73"/>
      <c r="B19" s="73"/>
      <c r="C19" s="73"/>
      <c r="D19" s="214" t="s">
        <v>177</v>
      </c>
      <c r="E19" s="215"/>
      <c r="F19" s="223">
        <v>0</v>
      </c>
      <c r="G19" s="224"/>
      <c r="H19" s="73"/>
      <c r="I19" s="73"/>
      <c r="J19" s="73"/>
      <c r="K19" s="73"/>
      <c r="L19" s="73"/>
      <c r="M19" s="73"/>
      <c r="N19" s="73"/>
      <c r="O19" s="73"/>
      <c r="P19" s="73"/>
      <c r="Q19" s="73"/>
      <c r="R19" s="73"/>
      <c r="S19" s="73"/>
      <c r="T19" s="73"/>
      <c r="U19" s="73"/>
      <c r="V19" s="73"/>
      <c r="W19" s="73"/>
      <c r="X19" s="73"/>
      <c r="Y19" s="73"/>
      <c r="Z19" s="73"/>
      <c r="AA19" s="73"/>
      <c r="AB19" s="73"/>
      <c r="AC19" s="73"/>
    </row>
    <row r="20" spans="1:29">
      <c r="A20" s="73"/>
      <c r="B20" s="73"/>
      <c r="C20" s="73"/>
      <c r="D20" s="214" t="s">
        <v>144</v>
      </c>
      <c r="E20" s="215"/>
      <c r="F20" s="223">
        <v>-0.02</v>
      </c>
      <c r="G20" s="224"/>
      <c r="H20" s="73"/>
      <c r="I20" s="73"/>
      <c r="J20" s="73"/>
      <c r="K20" s="73"/>
      <c r="L20" s="73"/>
      <c r="M20" s="73"/>
      <c r="N20" s="73"/>
      <c r="O20" s="73"/>
      <c r="P20" s="73"/>
      <c r="Q20" s="73"/>
      <c r="R20" s="73"/>
      <c r="S20" s="73"/>
      <c r="T20" s="73"/>
      <c r="U20" s="73"/>
      <c r="V20" s="73"/>
      <c r="W20" s="73"/>
      <c r="X20" s="73"/>
      <c r="Y20" s="73"/>
      <c r="Z20" s="73"/>
    </row>
    <row r="21" spans="1:29">
      <c r="A21" s="73"/>
      <c r="B21" s="73"/>
      <c r="C21" s="73"/>
      <c r="D21" s="214" t="s">
        <v>147</v>
      </c>
      <c r="E21" s="215"/>
      <c r="F21" s="223">
        <v>-0.08</v>
      </c>
      <c r="G21" s="224"/>
      <c r="H21" s="73"/>
      <c r="I21" s="73"/>
      <c r="J21" s="73"/>
      <c r="K21" s="73"/>
      <c r="L21" s="73"/>
      <c r="M21" s="73"/>
      <c r="N21" s="73"/>
      <c r="O21" s="73"/>
      <c r="P21" s="73"/>
      <c r="Q21" s="73"/>
      <c r="R21" s="73"/>
      <c r="S21" s="73"/>
      <c r="T21" s="73"/>
      <c r="U21" s="73"/>
      <c r="V21" s="73"/>
      <c r="W21" s="73"/>
      <c r="X21" s="73"/>
      <c r="Y21" s="73"/>
      <c r="Z21" s="73"/>
    </row>
    <row r="22" spans="1:29">
      <c r="A22" s="73"/>
      <c r="B22" s="73"/>
      <c r="C22" s="73"/>
      <c r="D22" s="214" t="s">
        <v>150</v>
      </c>
      <c r="E22" s="215"/>
      <c r="F22" s="223">
        <v>-0.12</v>
      </c>
      <c r="G22" s="224"/>
      <c r="H22" s="73"/>
      <c r="I22" s="73"/>
      <c r="J22" s="73"/>
      <c r="K22" s="73"/>
      <c r="L22" s="73"/>
      <c r="M22" s="73"/>
      <c r="N22" s="73"/>
      <c r="O22" s="73"/>
      <c r="P22" s="73"/>
      <c r="Q22" s="73"/>
      <c r="R22" s="73"/>
      <c r="S22" s="73"/>
      <c r="T22" s="73"/>
      <c r="U22" s="73"/>
      <c r="V22" s="73"/>
      <c r="W22" s="73"/>
      <c r="X22" s="73"/>
      <c r="Y22" s="73"/>
      <c r="Z22" s="73"/>
    </row>
    <row r="23" spans="1:29">
      <c r="A23" s="73"/>
      <c r="B23" s="73"/>
      <c r="C23" s="73"/>
      <c r="D23" s="214" t="s">
        <v>156</v>
      </c>
      <c r="E23" s="215"/>
      <c r="F23" s="223">
        <v>-0.1</v>
      </c>
      <c r="G23" s="224"/>
      <c r="H23" s="73"/>
      <c r="I23" s="73"/>
      <c r="J23" s="73"/>
      <c r="K23" s="73"/>
      <c r="L23" s="73"/>
      <c r="M23" s="73"/>
      <c r="N23" s="73"/>
      <c r="O23" s="73"/>
      <c r="P23" s="73"/>
      <c r="Q23" s="73"/>
      <c r="R23" s="73"/>
      <c r="S23" s="73"/>
      <c r="T23" s="73"/>
      <c r="U23" s="73"/>
      <c r="V23" s="73"/>
      <c r="W23" s="73"/>
      <c r="X23" s="73"/>
      <c r="Y23" s="73"/>
      <c r="Z23" s="73"/>
    </row>
    <row r="24" spans="1:29">
      <c r="A24" s="73"/>
      <c r="B24" s="73"/>
      <c r="C24" s="73"/>
      <c r="D24" s="214" t="s">
        <v>159</v>
      </c>
      <c r="E24" s="215"/>
      <c r="F24" s="223">
        <v>-0.06</v>
      </c>
      <c r="G24" s="224"/>
      <c r="H24" s="73"/>
      <c r="I24" s="73"/>
      <c r="J24" s="73"/>
      <c r="K24" s="73"/>
      <c r="L24" s="73"/>
      <c r="M24" s="73"/>
      <c r="N24" s="73"/>
      <c r="O24" s="73"/>
      <c r="P24" s="73"/>
      <c r="Q24" s="73"/>
      <c r="R24" s="73"/>
      <c r="S24" s="73"/>
      <c r="T24" s="73"/>
      <c r="U24" s="73"/>
      <c r="V24" s="73"/>
      <c r="W24" s="73"/>
      <c r="X24" s="73"/>
      <c r="Y24" s="73"/>
      <c r="Z24" s="73"/>
    </row>
    <row r="25" spans="1:29">
      <c r="A25" s="73"/>
      <c r="B25" s="73"/>
      <c r="C25" s="73"/>
      <c r="D25" s="225" t="s">
        <v>153</v>
      </c>
      <c r="E25" s="226"/>
      <c r="F25" s="227">
        <v>-0.15</v>
      </c>
      <c r="G25" s="228"/>
      <c r="H25" s="73"/>
      <c r="I25" s="73"/>
      <c r="J25" s="73"/>
      <c r="K25" s="73"/>
      <c r="L25" s="73"/>
      <c r="M25" s="73"/>
      <c r="N25" s="73"/>
      <c r="O25" s="73"/>
      <c r="P25" s="73"/>
      <c r="Q25" s="73"/>
      <c r="R25" s="73"/>
      <c r="S25" s="73"/>
      <c r="T25" s="73"/>
      <c r="U25" s="73"/>
      <c r="V25" s="73"/>
      <c r="W25" s="73"/>
      <c r="X25" s="73"/>
      <c r="Y25" s="73"/>
      <c r="Z25" s="73"/>
    </row>
    <row r="26" spans="1:29">
      <c r="A26" s="73"/>
      <c r="B26" s="73"/>
      <c r="C26" s="73"/>
      <c r="D26" s="73"/>
      <c r="E26" s="73"/>
      <c r="F26" s="73"/>
      <c r="G26" s="73"/>
      <c r="H26" s="73"/>
      <c r="I26" s="73"/>
      <c r="J26" s="73"/>
      <c r="K26" s="73"/>
      <c r="L26" s="73"/>
      <c r="M26" s="73"/>
      <c r="N26" s="73"/>
      <c r="O26" s="73"/>
      <c r="Q26" s="73"/>
      <c r="R26" s="73"/>
      <c r="S26" s="73"/>
      <c r="T26" s="73"/>
      <c r="U26" s="73"/>
      <c r="V26" s="73"/>
      <c r="W26" s="73"/>
      <c r="X26" s="73"/>
      <c r="Y26" s="73"/>
      <c r="Z26" s="73"/>
    </row>
    <row r="27" spans="1:29">
      <c r="A27" s="73"/>
      <c r="B27" s="73"/>
      <c r="C27" s="73"/>
      <c r="D27" s="73"/>
      <c r="E27" s="73"/>
      <c r="F27" s="73"/>
      <c r="G27" s="73"/>
      <c r="H27" s="73"/>
      <c r="I27" s="73"/>
      <c r="J27" s="73"/>
      <c r="K27" s="73"/>
      <c r="L27" s="73"/>
      <c r="M27" s="73"/>
      <c r="N27" s="73"/>
      <c r="O27" s="73"/>
      <c r="Q27" s="73"/>
      <c r="R27" s="73"/>
      <c r="S27" s="73"/>
      <c r="T27" s="73"/>
      <c r="U27" s="73"/>
      <c r="V27" s="73"/>
      <c r="W27" s="73"/>
      <c r="X27" s="73"/>
      <c r="Y27" s="73"/>
      <c r="Z27" s="73"/>
    </row>
    <row r="28" spans="1:29">
      <c r="A28" s="73"/>
      <c r="B28" s="73"/>
      <c r="C28" s="73"/>
      <c r="D28" s="73"/>
      <c r="E28" s="73"/>
      <c r="F28" s="73"/>
      <c r="G28" s="73"/>
      <c r="H28" s="73"/>
      <c r="I28" s="73"/>
      <c r="J28" s="73"/>
      <c r="K28" s="73"/>
      <c r="L28" s="73"/>
      <c r="M28" s="73"/>
      <c r="N28" s="73"/>
      <c r="O28" s="73"/>
      <c r="Q28" s="73"/>
      <c r="R28" s="73"/>
      <c r="S28" s="73"/>
      <c r="T28" s="73"/>
      <c r="U28" s="73"/>
      <c r="V28" s="73"/>
      <c r="W28" s="73"/>
      <c r="X28" s="73"/>
      <c r="Y28" s="73"/>
      <c r="Z28" s="73"/>
    </row>
    <row r="29" spans="1:29">
      <c r="A29" s="73"/>
      <c r="B29" s="73"/>
      <c r="C29" s="73"/>
      <c r="D29" s="73"/>
      <c r="E29" s="73"/>
      <c r="F29" s="73"/>
      <c r="G29" s="73"/>
      <c r="H29" s="73"/>
      <c r="I29" s="73"/>
      <c r="J29" s="73"/>
      <c r="K29" s="73"/>
      <c r="L29" s="73"/>
      <c r="M29" s="73"/>
      <c r="N29" s="73"/>
      <c r="O29" s="73"/>
      <c r="Q29" s="73"/>
      <c r="R29" s="73"/>
      <c r="S29" s="73"/>
      <c r="T29" s="73"/>
      <c r="U29" s="73"/>
      <c r="V29" s="73"/>
      <c r="W29" s="73"/>
      <c r="X29" s="73"/>
      <c r="Y29" s="73"/>
      <c r="Z29" s="73"/>
    </row>
    <row r="30" spans="1:29">
      <c r="A30" s="73"/>
      <c r="B30" s="73"/>
      <c r="C30" s="73"/>
      <c r="D30" s="73"/>
      <c r="E30" s="73"/>
      <c r="F30" s="73"/>
      <c r="G30" s="73"/>
      <c r="H30" s="73"/>
      <c r="I30" s="73"/>
      <c r="J30" s="73"/>
      <c r="K30" s="73"/>
      <c r="L30" s="73"/>
      <c r="M30" s="73"/>
      <c r="N30" s="73"/>
      <c r="O30" s="73"/>
      <c r="Q30" s="73"/>
      <c r="R30" s="73"/>
      <c r="S30" s="73"/>
      <c r="T30" s="73"/>
      <c r="U30" s="73"/>
      <c r="V30" s="73"/>
      <c r="W30" s="73"/>
      <c r="X30" s="73"/>
      <c r="Y30" s="73"/>
      <c r="Z30" s="73"/>
    </row>
    <row r="31" spans="1:29">
      <c r="A31" s="73"/>
      <c r="B31" s="73"/>
      <c r="C31" s="73"/>
      <c r="D31" s="73"/>
      <c r="E31" s="73"/>
      <c r="F31" s="73"/>
      <c r="G31" s="73"/>
      <c r="H31" s="73"/>
      <c r="I31" s="73"/>
      <c r="J31" s="73"/>
      <c r="K31" s="73"/>
      <c r="L31" s="73"/>
      <c r="M31" s="73"/>
      <c r="N31" s="73"/>
      <c r="O31" s="73"/>
      <c r="Q31" s="73"/>
      <c r="R31" s="73"/>
      <c r="S31" s="73"/>
      <c r="T31" s="73"/>
      <c r="U31" s="73"/>
      <c r="V31" s="73"/>
      <c r="W31" s="73"/>
      <c r="X31" s="73"/>
      <c r="Y31" s="73"/>
      <c r="Z31" s="73"/>
    </row>
    <row r="32" spans="1:29">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row>
    <row r="33" spans="1:29">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row>
    <row r="34" spans="1:29">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row>
    <row r="35" spans="1:29">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row>
    <row r="36" spans="1:29">
      <c r="A36" s="73"/>
      <c r="B36" s="73"/>
      <c r="C36" s="73"/>
      <c r="D36" s="73"/>
      <c r="E36" s="73"/>
      <c r="F36" s="73"/>
      <c r="G36" s="73"/>
      <c r="H36" s="73"/>
      <c r="I36" s="73"/>
      <c r="J36" s="73"/>
      <c r="K36" s="73"/>
      <c r="L36" s="73"/>
      <c r="M36" s="73"/>
      <c r="N36" s="73"/>
      <c r="O36" s="73"/>
      <c r="Q36" s="73"/>
      <c r="R36" s="73"/>
      <c r="S36" s="73"/>
      <c r="T36" s="73"/>
      <c r="U36" s="73"/>
      <c r="V36" s="73"/>
      <c r="W36" s="73"/>
      <c r="X36" s="73"/>
      <c r="Y36" s="73"/>
      <c r="Z36" s="73"/>
    </row>
    <row r="37" spans="1:29">
      <c r="A37" s="73"/>
      <c r="B37" s="73"/>
      <c r="C37" s="73"/>
      <c r="D37" s="73"/>
      <c r="E37" s="73"/>
      <c r="F37" s="73"/>
      <c r="G37" s="73"/>
      <c r="H37" s="73"/>
      <c r="I37" s="73"/>
      <c r="J37" s="73"/>
      <c r="K37" s="73"/>
      <c r="L37" s="73"/>
      <c r="M37" s="73"/>
      <c r="N37" s="73"/>
      <c r="O37" s="73"/>
      <c r="Q37" s="73"/>
      <c r="R37" s="73"/>
      <c r="S37" s="73"/>
      <c r="T37" s="73"/>
      <c r="U37" s="73"/>
      <c r="V37" s="73"/>
      <c r="W37" s="73"/>
      <c r="X37" s="73"/>
      <c r="Y37" s="73"/>
      <c r="Z37" s="73"/>
    </row>
    <row r="38" spans="1:29">
      <c r="Q38" s="73"/>
      <c r="R38" s="73"/>
      <c r="S38" s="73"/>
      <c r="T38" s="73"/>
      <c r="U38" s="73"/>
      <c r="V38" s="73"/>
      <c r="W38" s="73"/>
      <c r="X38" s="73"/>
      <c r="Y38" s="73"/>
      <c r="Z38" s="73"/>
    </row>
    <row r="39" spans="1:29">
      <c r="Q39" s="73"/>
      <c r="R39" s="73"/>
      <c r="S39" s="73"/>
      <c r="T39" s="73"/>
      <c r="U39" s="73"/>
      <c r="V39" s="73"/>
      <c r="W39" s="73"/>
      <c r="X39" s="73"/>
      <c r="Y39" s="73"/>
      <c r="Z39" s="73"/>
    </row>
    <row r="40" spans="1:29">
      <c r="Q40" s="73"/>
      <c r="R40" s="73"/>
      <c r="S40" s="73"/>
      <c r="T40" s="73"/>
      <c r="U40" s="73"/>
      <c r="V40" s="73"/>
      <c r="W40" s="73"/>
      <c r="X40" s="73"/>
      <c r="Y40" s="73"/>
      <c r="Z40" s="73"/>
    </row>
    <row r="41" spans="1:29">
      <c r="Q41" s="73"/>
      <c r="R41" s="73"/>
      <c r="S41" s="73"/>
      <c r="T41" s="73"/>
      <c r="U41" s="73"/>
      <c r="V41" s="73"/>
      <c r="W41" s="73"/>
      <c r="X41" s="73"/>
      <c r="Y41" s="73"/>
      <c r="Z41" s="73"/>
    </row>
    <row r="42" spans="1:29">
      <c r="Q42" s="73"/>
      <c r="R42" s="73"/>
      <c r="S42" s="73"/>
      <c r="T42" s="73"/>
      <c r="U42" s="73"/>
      <c r="V42" s="73"/>
      <c r="W42" s="73"/>
      <c r="X42" s="73"/>
      <c r="Y42" s="73"/>
      <c r="Z42" s="73"/>
    </row>
    <row r="43" spans="1:29">
      <c r="Q43" s="73"/>
      <c r="R43" s="73"/>
      <c r="S43" s="73"/>
      <c r="T43" s="73"/>
      <c r="U43" s="73"/>
      <c r="V43" s="73"/>
      <c r="W43" s="73"/>
      <c r="X43" s="73"/>
      <c r="Y43" s="73"/>
      <c r="Z43" s="73"/>
    </row>
    <row r="44" spans="1:29">
      <c r="Q44" s="73"/>
      <c r="R44" s="73"/>
      <c r="S44" s="73"/>
      <c r="T44" s="73"/>
      <c r="U44" s="73"/>
      <c r="V44" s="73"/>
      <c r="W44" s="73"/>
      <c r="X44" s="73"/>
      <c r="Y44" s="73"/>
      <c r="Z44" s="73"/>
    </row>
  </sheetData>
  <mergeCells count="18">
    <mergeCell ref="D23:E23"/>
    <mergeCell ref="D24:E24"/>
    <mergeCell ref="D25:E25"/>
    <mergeCell ref="F19:G19"/>
    <mergeCell ref="F20:G20"/>
    <mergeCell ref="F23:G23"/>
    <mergeCell ref="F24:G24"/>
    <mergeCell ref="F25:G25"/>
    <mergeCell ref="C16:H16"/>
    <mergeCell ref="D19:E19"/>
    <mergeCell ref="D20:E20"/>
    <mergeCell ref="D21:E21"/>
    <mergeCell ref="D22:E22"/>
    <mergeCell ref="F18:G18"/>
    <mergeCell ref="D18:E18"/>
    <mergeCell ref="D17:G17"/>
    <mergeCell ref="F21:G21"/>
    <mergeCell ref="F22:G22"/>
  </mergeCells>
  <conditionalFormatting sqref="O2:O996">
    <cfRule type="expression" dxfId="4" priority="5">
      <formula>AND(O2&lt;&gt;"",O2&lt;0.25)</formula>
    </cfRule>
  </conditionalFormatting>
  <conditionalFormatting sqref="O2:O996">
    <cfRule type="expression" dxfId="3" priority="4">
      <formula>AND(O2&gt;=0.25,O2&lt;0.75)</formula>
    </cfRule>
  </conditionalFormatting>
  <conditionalFormatting sqref="O2:O996">
    <cfRule type="expression" dxfId="2" priority="3">
      <formula>O2&gt;=0.75</formula>
    </cfRule>
  </conditionalFormatting>
  <conditionalFormatting sqref="A26:M996 F18:F25 A17:D25 H17:M25 A2:M16">
    <cfRule type="expression" dxfId="1" priority="2">
      <formula>$C2="Corn"</formula>
    </cfRule>
  </conditionalFormatting>
  <conditionalFormatting sqref="A26:M996 F18:F25 A17:D25 H17:M25 A2:M16">
    <cfRule type="expression" dxfId="0" priority="1">
      <formula>$C2="soybeans"</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EA978-65B3-473D-BE29-E0E17FC8643E}">
  <sheetPr>
    <tabColor rgb="FF0070C0"/>
  </sheetPr>
  <dimension ref="A1:T12"/>
  <sheetViews>
    <sheetView workbookViewId="0">
      <pane ySplit="1" topLeftCell="A2" activePane="bottomLeft" state="frozen"/>
      <selection pane="bottomLeft" activeCell="E16" sqref="E16"/>
    </sheetView>
  </sheetViews>
  <sheetFormatPr defaultRowHeight="15"/>
  <cols>
    <col min="1" max="1" width="8.42578125" bestFit="1" customWidth="1"/>
    <col min="2" max="2" width="15.5703125" bestFit="1" customWidth="1"/>
    <col min="3" max="3" width="19.7109375" bestFit="1" customWidth="1"/>
    <col min="4" max="4" width="12.140625" bestFit="1" customWidth="1"/>
    <col min="5" max="5" width="16.140625" bestFit="1" customWidth="1"/>
    <col min="6" max="6" width="14" bestFit="1" customWidth="1"/>
    <col min="7" max="7" width="13.42578125" bestFit="1" customWidth="1"/>
    <col min="8" max="8" width="10.28515625" bestFit="1" customWidth="1"/>
    <col min="9" max="9" width="9.85546875" bestFit="1" customWidth="1"/>
    <col min="12" max="12" width="8.7109375" bestFit="1" customWidth="1"/>
    <col min="14" max="14" width="4.5703125" bestFit="1" customWidth="1"/>
    <col min="15" max="15" width="5.7109375" bestFit="1" customWidth="1"/>
    <col min="16" max="16" width="7.140625" bestFit="1" customWidth="1"/>
    <col min="17" max="17" width="6" bestFit="1" customWidth="1"/>
    <col min="18" max="18" width="20.85546875" bestFit="1" customWidth="1"/>
    <col min="19" max="19" width="10.28515625" bestFit="1" customWidth="1"/>
    <col min="20" max="20" width="19" bestFit="1" customWidth="1"/>
  </cols>
  <sheetData>
    <row r="1" spans="1:20" ht="15.75">
      <c r="A1" s="4" t="s">
        <v>65</v>
      </c>
      <c r="B1" s="71" t="s">
        <v>178</v>
      </c>
      <c r="C1" s="71" t="s">
        <v>135</v>
      </c>
      <c r="D1" s="71" t="s">
        <v>2</v>
      </c>
      <c r="E1" s="71" t="s">
        <v>136</v>
      </c>
      <c r="F1" s="71" t="s">
        <v>67</v>
      </c>
      <c r="G1" s="71" t="s">
        <v>68</v>
      </c>
      <c r="H1" s="71" t="s">
        <v>179</v>
      </c>
      <c r="I1" s="71" t="s">
        <v>180</v>
      </c>
      <c r="J1" s="71" t="s">
        <v>70</v>
      </c>
      <c r="K1" s="71" t="s">
        <v>72</v>
      </c>
      <c r="L1" s="71" t="s">
        <v>73</v>
      </c>
      <c r="M1" s="71" t="s">
        <v>74</v>
      </c>
      <c r="N1" s="71" t="s">
        <v>75</v>
      </c>
      <c r="O1" s="71" t="s">
        <v>76</v>
      </c>
      <c r="P1" s="71" t="s">
        <v>181</v>
      </c>
      <c r="Q1" s="71" t="s">
        <v>78</v>
      </c>
      <c r="R1" s="71" t="s">
        <v>182</v>
      </c>
      <c r="S1" s="72" t="s">
        <v>80</v>
      </c>
      <c r="T1" s="72" t="s">
        <v>183</v>
      </c>
    </row>
    <row r="2" spans="1:20">
      <c r="A2" s="65" t="s">
        <v>184</v>
      </c>
      <c r="B2" s="65" t="s">
        <v>142</v>
      </c>
      <c r="C2" s="65" t="s">
        <v>143</v>
      </c>
      <c r="D2" s="65" t="s">
        <v>15</v>
      </c>
      <c r="E2" s="65" t="s">
        <v>144</v>
      </c>
      <c r="F2" s="65" t="s">
        <v>83</v>
      </c>
      <c r="G2" s="65" t="s">
        <v>84</v>
      </c>
      <c r="H2" s="66">
        <v>46268</v>
      </c>
      <c r="I2" s="67">
        <v>0.3</v>
      </c>
      <c r="J2" s="67">
        <v>0.30902777777777779</v>
      </c>
      <c r="K2" s="65">
        <v>80240</v>
      </c>
      <c r="L2" s="65">
        <v>32180</v>
      </c>
      <c r="M2" s="65">
        <f>K2-L2</f>
        <v>48060</v>
      </c>
      <c r="N2" s="65">
        <v>56.6</v>
      </c>
      <c r="O2" s="65">
        <v>15.2</v>
      </c>
      <c r="P2" s="65">
        <v>3.5</v>
      </c>
      <c r="Q2" s="65">
        <v>1.5</v>
      </c>
      <c r="R2" s="65">
        <f>SUMIFS('Destination Specs'!$GL$315:$GL$450,'Destination Specs'!$GG$315:$GG$450,$C2,'Destination Specs'!$GI$315:$GI$450,"MT",'Destination Specs'!$GJ$315:$GJ$450,"&lt;="&amp;$O2,'Destination Specs'!$GK$315:$GK$450,"&gt;="&amp;$O2)+SUMIFS('Destination Specs'!$GL$315:$GL$450,'Destination Specs'!$GG$315:$GG$450,$C2,'Destination Specs'!$GI$315:$GI$450,"DMG",'Destination Specs'!$GJ$315:$GJ$450,"&lt;="&amp;$P2,'Destination Specs'!$GK$315:$GK$450,"&gt;="&amp;$P2)+SUMIFS('Destination Specs'!$GL$315:$GL$450,'Destination Specs'!$GG$315:$GG$450,$C2,'Destination Specs'!$GI$315:$GI$450,"FM",'Destination Specs'!$GJ$315:$GJ$450,"&lt;="&amp;$Q2,'Destination Specs'!$GK$315:$GK$450,"&gt;="&amp;$Q2)</f>
        <v>7.0000000000000007E-2</v>
      </c>
      <c r="S2" s="124">
        <f>IF(D2="Corn",M2/56,M2/60)</f>
        <v>858.21428571428567</v>
      </c>
      <c r="T2" s="127">
        <f>R2*S2</f>
        <v>60.075000000000003</v>
      </c>
    </row>
    <row r="3" spans="1:20">
      <c r="A3" s="68" t="s">
        <v>185</v>
      </c>
      <c r="B3" s="68" t="s">
        <v>142</v>
      </c>
      <c r="C3" s="68" t="s">
        <v>143</v>
      </c>
      <c r="D3" s="68" t="s">
        <v>15</v>
      </c>
      <c r="E3" s="68" t="s">
        <v>144</v>
      </c>
      <c r="F3" s="68" t="s">
        <v>97</v>
      </c>
      <c r="G3" s="68" t="s">
        <v>98</v>
      </c>
      <c r="H3" s="69">
        <v>46268</v>
      </c>
      <c r="I3" s="70">
        <v>0.33402777777777776</v>
      </c>
      <c r="J3" s="70">
        <v>0.34305555555555556</v>
      </c>
      <c r="K3" s="68">
        <v>79860</v>
      </c>
      <c r="L3" s="68">
        <v>31980</v>
      </c>
      <c r="M3" s="68">
        <f t="shared" ref="M3:M12" si="0">K3-L3</f>
        <v>47880</v>
      </c>
      <c r="N3" s="68">
        <v>56.4</v>
      </c>
      <c r="O3" s="68">
        <v>14.8</v>
      </c>
      <c r="P3" s="68">
        <v>2.8</v>
      </c>
      <c r="Q3" s="68">
        <v>1</v>
      </c>
      <c r="R3" s="68">
        <f>SUMIFS('Destination Specs'!$GL$315:$GL$450,'Destination Specs'!$GG$315:$GG$450,$C3,'Destination Specs'!$GI$315:$GI$450,"MT",'Destination Specs'!$GJ$315:$GJ$450,"&lt;="&amp;$O3,'Destination Specs'!$GK$315:$GK$450,"&gt;="&amp;$O3)+SUMIFS('Destination Specs'!$GL$315:$GL$450,'Destination Specs'!$GG$315:$GG$450,$C3,'Destination Specs'!$GI$315:$GI$450,"DMG",'Destination Specs'!$GJ$315:$GJ$450,"&lt;="&amp;$P3,'Destination Specs'!$GK$315:$GK$450,"&gt;="&amp;$P3)+SUMIFS('Destination Specs'!$GL$315:$GL$450,'Destination Specs'!$GG$315:$GG$450,$C3,'Destination Specs'!$GI$315:$GI$450,"FM",'Destination Specs'!$GJ$315:$GJ$450,"&lt;="&amp;$Q3,'Destination Specs'!$GK$315:$GK$450,"&gt;="&amp;$Q3)</f>
        <v>0</v>
      </c>
      <c r="S3" s="125">
        <f t="shared" ref="S3:S12" si="1">IF(D3="Corn",M3/56,M3/60)</f>
        <v>855</v>
      </c>
      <c r="T3" s="128">
        <f t="shared" ref="T3:T12" si="2">R3*S3</f>
        <v>0</v>
      </c>
    </row>
    <row r="4" spans="1:20">
      <c r="A4" s="65" t="s">
        <v>186</v>
      </c>
      <c r="B4" s="65" t="s">
        <v>145</v>
      </c>
      <c r="C4" s="65" t="s">
        <v>146</v>
      </c>
      <c r="D4" s="65" t="s">
        <v>15</v>
      </c>
      <c r="E4" s="65" t="s">
        <v>147</v>
      </c>
      <c r="F4" s="65" t="s">
        <v>93</v>
      </c>
      <c r="G4" s="65" t="s">
        <v>94</v>
      </c>
      <c r="H4" s="66">
        <v>46268</v>
      </c>
      <c r="I4" s="67">
        <v>0.37152777777777779</v>
      </c>
      <c r="J4" s="67">
        <v>0.38124999999999998</v>
      </c>
      <c r="K4" s="65">
        <v>80620</v>
      </c>
      <c r="L4" s="65">
        <v>32040</v>
      </c>
      <c r="M4" s="65">
        <f t="shared" si="0"/>
        <v>48580</v>
      </c>
      <c r="N4" s="65">
        <v>54.8</v>
      </c>
      <c r="O4" s="65">
        <v>15.6</v>
      </c>
      <c r="P4" s="65">
        <v>4.2</v>
      </c>
      <c r="Q4" s="65">
        <v>2.2000000000000002</v>
      </c>
      <c r="R4" s="65">
        <f>SUMIFS('Destination Specs'!$GL$315:$GL$450,'Destination Specs'!$GG$315:$GG$450,$C4,'Destination Specs'!$GI$315:$GI$450,"MT",'Destination Specs'!$GJ$315:$GJ$450,"&lt;="&amp;$O4,'Destination Specs'!$GK$315:$GK$450,"&gt;="&amp;$O4)+SUMIFS('Destination Specs'!$GL$315:$GL$450,'Destination Specs'!$GG$315:$GG$450,$C4,'Destination Specs'!$GI$315:$GI$450,"DMG",'Destination Specs'!$GJ$315:$GJ$450,"&lt;="&amp;$P4,'Destination Specs'!$GK$315:$GK$450,"&gt;="&amp;$P4)+SUMIFS('Destination Specs'!$GL$315:$GL$450,'Destination Specs'!$GG$315:$GG$450,$C4,'Destination Specs'!$GI$315:$GI$450,"FM",'Destination Specs'!$GJ$315:$GJ$450,"&lt;="&amp;$Q4,'Destination Specs'!$GK$315:$GK$450,"&gt;="&amp;$Q4)</f>
        <v>0.15000000000000002</v>
      </c>
      <c r="S4" s="124">
        <f t="shared" si="1"/>
        <v>867.5</v>
      </c>
      <c r="T4" s="127">
        <f t="shared" si="2"/>
        <v>130.12500000000003</v>
      </c>
    </row>
    <row r="5" spans="1:20">
      <c r="A5" s="68" t="s">
        <v>187</v>
      </c>
      <c r="B5" s="68" t="s">
        <v>148</v>
      </c>
      <c r="C5" s="68" t="s">
        <v>149</v>
      </c>
      <c r="D5" s="68" t="s">
        <v>15</v>
      </c>
      <c r="E5" s="68" t="s">
        <v>150</v>
      </c>
      <c r="F5" s="68" t="s">
        <v>89</v>
      </c>
      <c r="G5" s="68" t="s">
        <v>90</v>
      </c>
      <c r="H5" s="69">
        <v>46268</v>
      </c>
      <c r="I5" s="70">
        <v>0.40069444444444446</v>
      </c>
      <c r="J5" s="70">
        <v>0.41111111111111109</v>
      </c>
      <c r="K5" s="68">
        <v>81240</v>
      </c>
      <c r="L5" s="68">
        <v>32200</v>
      </c>
      <c r="M5" s="68">
        <f t="shared" si="0"/>
        <v>49040</v>
      </c>
      <c r="N5" s="68">
        <v>55.2</v>
      </c>
      <c r="O5" s="68">
        <v>16.2</v>
      </c>
      <c r="P5" s="68">
        <v>3.8</v>
      </c>
      <c r="Q5" s="68">
        <v>2.5</v>
      </c>
      <c r="R5" s="68">
        <f>SUMIFS('Destination Specs'!$GL$315:$GL$450,'Destination Specs'!$GG$315:$GG$450,$C5,'Destination Specs'!$GI$315:$GI$450,"MT",'Destination Specs'!$GJ$315:$GJ$450,"&lt;="&amp;$O5,'Destination Specs'!$GK$315:$GK$450,"&gt;="&amp;$O5)+SUMIFS('Destination Specs'!$GL$315:$GL$450,'Destination Specs'!$GG$315:$GG$450,$C5,'Destination Specs'!$GI$315:$GI$450,"DMG",'Destination Specs'!$GJ$315:$GJ$450,"&lt;="&amp;$P5,'Destination Specs'!$GK$315:$GK$450,"&gt;="&amp;$P5)+SUMIFS('Destination Specs'!$GL$315:$GL$450,'Destination Specs'!$GG$315:$GG$450,$C5,'Destination Specs'!$GI$315:$GI$450,"FM",'Destination Specs'!$GJ$315:$GJ$450,"&lt;="&amp;$Q5,'Destination Specs'!$GK$315:$GK$450,"&gt;="&amp;$Q5)</f>
        <v>0.13</v>
      </c>
      <c r="S5" s="125">
        <f t="shared" si="1"/>
        <v>875.71428571428567</v>
      </c>
      <c r="T5" s="128">
        <f t="shared" si="2"/>
        <v>113.84285714285714</v>
      </c>
    </row>
    <row r="6" spans="1:20">
      <c r="A6" s="65" t="s">
        <v>188</v>
      </c>
      <c r="B6" s="65" t="s">
        <v>151</v>
      </c>
      <c r="C6" s="65" t="s">
        <v>152</v>
      </c>
      <c r="D6" s="65" t="s">
        <v>15</v>
      </c>
      <c r="E6" s="65" t="s">
        <v>153</v>
      </c>
      <c r="F6" s="65" t="s">
        <v>83</v>
      </c>
      <c r="G6" s="65" t="s">
        <v>84</v>
      </c>
      <c r="H6" s="66">
        <v>46268</v>
      </c>
      <c r="I6" s="67">
        <v>0.42708333333333331</v>
      </c>
      <c r="J6" s="67">
        <v>0.43819444444444444</v>
      </c>
      <c r="K6" s="65">
        <v>81820</v>
      </c>
      <c r="L6" s="65">
        <v>32340</v>
      </c>
      <c r="M6" s="65">
        <f t="shared" si="0"/>
        <v>49480</v>
      </c>
      <c r="N6" s="65">
        <v>56.8</v>
      </c>
      <c r="O6" s="65">
        <v>14.9</v>
      </c>
      <c r="P6" s="65">
        <v>2.5</v>
      </c>
      <c r="Q6" s="65">
        <v>0.9</v>
      </c>
      <c r="R6" s="65">
        <f>SUMIFS('Destination Specs'!$GL$315:$GL$450,'Destination Specs'!$GG$315:$GG$450,$C6,'Destination Specs'!$GI$315:$GI$450,"MT",'Destination Specs'!$GJ$315:$GJ$450,"&lt;="&amp;$O6,'Destination Specs'!$GK$315:$GK$450,"&gt;="&amp;$O6)+SUMIFS('Destination Specs'!$GL$315:$GL$450,'Destination Specs'!$GG$315:$GG$450,$C6,'Destination Specs'!$GI$315:$GI$450,"DMG",'Destination Specs'!$GJ$315:$GJ$450,"&lt;="&amp;$P6,'Destination Specs'!$GK$315:$GK$450,"&gt;="&amp;$P6)+SUMIFS('Destination Specs'!$GL$315:$GL$450,'Destination Specs'!$GG$315:$GG$450,$C6,'Destination Specs'!$GI$315:$GI$450,"FM",'Destination Specs'!$GJ$315:$GJ$450,"&lt;="&amp;$Q6,'Destination Specs'!$GK$315:$GK$450,"&gt;="&amp;$Q6)</f>
        <v>0.11</v>
      </c>
      <c r="S6" s="124">
        <f t="shared" si="1"/>
        <v>883.57142857142856</v>
      </c>
      <c r="T6" s="127">
        <f t="shared" si="2"/>
        <v>97.192857142857136</v>
      </c>
    </row>
    <row r="7" spans="1:20">
      <c r="A7" s="68" t="s">
        <v>189</v>
      </c>
      <c r="B7" s="68" t="s">
        <v>154</v>
      </c>
      <c r="C7" s="68" t="s">
        <v>155</v>
      </c>
      <c r="D7" s="68" t="s">
        <v>15</v>
      </c>
      <c r="E7" s="68" t="s">
        <v>156</v>
      </c>
      <c r="F7" s="68" t="s">
        <v>86</v>
      </c>
      <c r="G7" s="68" t="s">
        <v>87</v>
      </c>
      <c r="H7" s="69">
        <v>46268</v>
      </c>
      <c r="I7" s="70">
        <v>0.46041666666666664</v>
      </c>
      <c r="J7" s="70">
        <v>0.47083333333333333</v>
      </c>
      <c r="K7" s="68">
        <v>80820</v>
      </c>
      <c r="L7" s="68">
        <v>32120</v>
      </c>
      <c r="M7" s="68">
        <f t="shared" si="0"/>
        <v>48700</v>
      </c>
      <c r="N7" s="68">
        <v>54.5</v>
      </c>
      <c r="O7" s="68">
        <v>15.7</v>
      </c>
      <c r="P7" s="68">
        <v>4.8</v>
      </c>
      <c r="Q7" s="68">
        <v>2.8</v>
      </c>
      <c r="R7" s="68">
        <f>SUMIFS('Destination Specs'!$GL$315:$GL$450,'Destination Specs'!$GG$315:$GG$450,$C7,'Destination Specs'!$GI$315:$GI$450,"MT",'Destination Specs'!$GJ$315:$GJ$450,"&lt;="&amp;$O7,'Destination Specs'!$GK$315:$GK$450,"&gt;="&amp;$O7)+SUMIFS('Destination Specs'!$GL$315:$GL$450,'Destination Specs'!$GG$315:$GG$450,$C7,'Destination Specs'!$GI$315:$GI$450,"DMG",'Destination Specs'!$GJ$315:$GJ$450,"&lt;="&amp;$P7,'Destination Specs'!$GK$315:$GK$450,"&gt;="&amp;$P7)+SUMIFS('Destination Specs'!$GL$315:$GL$450,'Destination Specs'!$GG$315:$GG$450,$C7,'Destination Specs'!$GI$315:$GI$450,"FM",'Destination Specs'!$GJ$315:$GJ$450,"&lt;="&amp;$Q7,'Destination Specs'!$GK$315:$GK$450,"&gt;="&amp;$Q7)</f>
        <v>0.15000000000000002</v>
      </c>
      <c r="S7" s="125">
        <f t="shared" si="1"/>
        <v>869.64285714285711</v>
      </c>
      <c r="T7" s="128">
        <f t="shared" si="2"/>
        <v>130.44642857142858</v>
      </c>
    </row>
    <row r="8" spans="1:20">
      <c r="A8" s="65" t="s">
        <v>190</v>
      </c>
      <c r="B8" s="65" t="s">
        <v>157</v>
      </c>
      <c r="C8" s="65" t="s">
        <v>158</v>
      </c>
      <c r="D8" s="65" t="s">
        <v>15</v>
      </c>
      <c r="E8" s="65" t="s">
        <v>159</v>
      </c>
      <c r="F8" s="65" t="s">
        <v>97</v>
      </c>
      <c r="G8" s="65" t="s">
        <v>98</v>
      </c>
      <c r="H8" s="66">
        <v>46268</v>
      </c>
      <c r="I8" s="67">
        <v>0.49444444444444446</v>
      </c>
      <c r="J8" s="67">
        <v>0.50555555555555554</v>
      </c>
      <c r="K8" s="65">
        <v>81460</v>
      </c>
      <c r="L8" s="65">
        <v>32260</v>
      </c>
      <c r="M8" s="65">
        <f t="shared" si="0"/>
        <v>49200</v>
      </c>
      <c r="N8" s="65">
        <v>56.1</v>
      </c>
      <c r="O8" s="65">
        <v>15.3</v>
      </c>
      <c r="P8" s="65">
        <v>3.2</v>
      </c>
      <c r="Q8" s="65">
        <v>1.6</v>
      </c>
      <c r="R8" s="65">
        <f>SUMIFS('Destination Specs'!$GL$315:$GL$450,'Destination Specs'!$GG$315:$GG$450,$C8,'Destination Specs'!$GI$315:$GI$450,"MT",'Destination Specs'!$GJ$315:$GJ$450,"&lt;="&amp;$O8,'Destination Specs'!$GK$315:$GK$450,"&gt;="&amp;$O8)+SUMIFS('Destination Specs'!$GL$315:$GL$450,'Destination Specs'!$GG$315:$GG$450,$C8,'Destination Specs'!$GI$315:$GI$450,"DMG",'Destination Specs'!$GJ$315:$GJ$450,"&lt;="&amp;$P8,'Destination Specs'!$GK$315:$GK$450,"&gt;="&amp;$P8)+SUMIFS('Destination Specs'!$GL$315:$GL$450,'Destination Specs'!$GG$315:$GG$450,$C8,'Destination Specs'!$GI$315:$GI$450,"FM",'Destination Specs'!$GJ$315:$GJ$450,"&lt;="&amp;$Q8,'Destination Specs'!$GK$315:$GK$450,"&gt;="&amp;$Q8)</f>
        <v>7.0000000000000007E-2</v>
      </c>
      <c r="S8" s="124">
        <f t="shared" si="1"/>
        <v>878.57142857142856</v>
      </c>
      <c r="T8" s="127">
        <f t="shared" si="2"/>
        <v>61.500000000000007</v>
      </c>
    </row>
    <row r="9" spans="1:20">
      <c r="A9" s="68" t="s">
        <v>191</v>
      </c>
      <c r="B9" s="68" t="s">
        <v>160</v>
      </c>
      <c r="C9" s="68" t="s">
        <v>161</v>
      </c>
      <c r="D9" s="68" t="s">
        <v>15</v>
      </c>
      <c r="E9" s="68" t="s">
        <v>144</v>
      </c>
      <c r="F9" s="68" t="s">
        <v>93</v>
      </c>
      <c r="G9" s="68" t="s">
        <v>94</v>
      </c>
      <c r="H9" s="69">
        <v>46268</v>
      </c>
      <c r="I9" s="70">
        <v>0.5444444444444444</v>
      </c>
      <c r="J9" s="70">
        <v>0.5541666666666667</v>
      </c>
      <c r="K9" s="68">
        <v>82100</v>
      </c>
      <c r="L9" s="68">
        <v>32400</v>
      </c>
      <c r="M9" s="68">
        <f t="shared" si="0"/>
        <v>49700</v>
      </c>
      <c r="N9" s="120">
        <v>55</v>
      </c>
      <c r="O9" s="68">
        <v>16.399999999999999</v>
      </c>
      <c r="P9" s="68">
        <v>4.5</v>
      </c>
      <c r="Q9" s="68">
        <v>2.4</v>
      </c>
      <c r="R9" s="68">
        <f>SUMIFS('Destination Specs'!$GL$315:$GL$450,'Destination Specs'!$GG$315:$GG$450,$C9,'Destination Specs'!$GI$315:$GI$450,"MT",'Destination Specs'!$GJ$315:$GJ$450,"&lt;="&amp;$O9,'Destination Specs'!$GK$315:$GK$450,"&gt;="&amp;$O9)+SUMIFS('Destination Specs'!$GL$315:$GL$450,'Destination Specs'!$GG$315:$GG$450,$C9,'Destination Specs'!$GI$315:$GI$450,"DMG",'Destination Specs'!$GJ$315:$GJ$450,"&lt;="&amp;$P9,'Destination Specs'!$GK$315:$GK$450,"&gt;="&amp;$P9)+SUMIFS('Destination Specs'!$GL$315:$GL$450,'Destination Specs'!$GG$315:$GG$450,$C9,'Destination Specs'!$GI$315:$GI$450,"FM",'Destination Specs'!$GJ$315:$GJ$450,"&lt;="&amp;$Q9,'Destination Specs'!$GK$315:$GK$450,"&gt;="&amp;$Q9)</f>
        <v>0</v>
      </c>
      <c r="S9" s="125">
        <f t="shared" si="1"/>
        <v>887.5</v>
      </c>
      <c r="T9" s="128">
        <f t="shared" si="2"/>
        <v>0</v>
      </c>
    </row>
    <row r="10" spans="1:20">
      <c r="A10" s="65" t="s">
        <v>192</v>
      </c>
      <c r="B10" s="65" t="s">
        <v>162</v>
      </c>
      <c r="C10" s="65" t="s">
        <v>163</v>
      </c>
      <c r="D10" s="65" t="s">
        <v>43</v>
      </c>
      <c r="E10" s="65" t="s">
        <v>159</v>
      </c>
      <c r="F10" s="65" t="s">
        <v>89</v>
      </c>
      <c r="G10" s="65" t="s">
        <v>90</v>
      </c>
      <c r="H10" s="66">
        <v>46268</v>
      </c>
      <c r="I10" s="67">
        <v>0.5805555555555556</v>
      </c>
      <c r="J10" s="67">
        <v>0.58958333333333335</v>
      </c>
      <c r="K10" s="65">
        <v>79220</v>
      </c>
      <c r="L10" s="65">
        <v>30220</v>
      </c>
      <c r="M10" s="65">
        <f t="shared" si="0"/>
        <v>49000</v>
      </c>
      <c r="N10" s="65">
        <v>54.2</v>
      </c>
      <c r="O10" s="65">
        <v>13.8</v>
      </c>
      <c r="P10" s="65">
        <v>3.4</v>
      </c>
      <c r="Q10" s="65">
        <v>1.5</v>
      </c>
      <c r="R10" s="65">
        <f>SUMIFS('Destination Specs'!$GL$315:$GL$450,'Destination Specs'!$GG$315:$GG$450,$C10,'Destination Specs'!$GI$315:$GI$450,"MT",'Destination Specs'!$GJ$315:$GJ$450,"&lt;="&amp;$O10,'Destination Specs'!$GK$315:$GK$450,"&gt;="&amp;$O10)+SUMIFS('Destination Specs'!$GL$315:$GL$450,'Destination Specs'!$GG$315:$GG$450,$C10,'Destination Specs'!$GI$315:$GI$450,"DMG",'Destination Specs'!$GJ$315:$GJ$450,"&lt;="&amp;$P10,'Destination Specs'!$GK$315:$GK$450,"&gt;="&amp;$P10)+SUMIFS('Destination Specs'!$GL$315:$GL$450,'Destination Specs'!$GG$315:$GG$450,$C10,'Destination Specs'!$GI$315:$GI$450,"FM",'Destination Specs'!$GJ$315:$GJ$450,"&lt;="&amp;$Q10,'Destination Specs'!$GK$315:$GK$450,"&gt;="&amp;$Q10)</f>
        <v>7.0000000000000007E-2</v>
      </c>
      <c r="S10" s="124">
        <f t="shared" si="1"/>
        <v>816.66666666666663</v>
      </c>
      <c r="T10" s="127">
        <f t="shared" si="2"/>
        <v>57.166666666666671</v>
      </c>
    </row>
    <row r="11" spans="1:20">
      <c r="A11" s="68" t="s">
        <v>193</v>
      </c>
      <c r="B11" s="68" t="s">
        <v>164</v>
      </c>
      <c r="C11" s="68" t="s">
        <v>165</v>
      </c>
      <c r="D11" s="68" t="s">
        <v>43</v>
      </c>
      <c r="E11" s="68" t="s">
        <v>153</v>
      </c>
      <c r="F11" s="68" t="s">
        <v>83</v>
      </c>
      <c r="G11" s="68" t="s">
        <v>84</v>
      </c>
      <c r="H11" s="69">
        <v>46268</v>
      </c>
      <c r="I11" s="70">
        <v>0.61388888888888893</v>
      </c>
      <c r="J11" s="70">
        <v>0.62361111111111112</v>
      </c>
      <c r="K11" s="68">
        <v>80480</v>
      </c>
      <c r="L11" s="68">
        <v>30680</v>
      </c>
      <c r="M11" s="68">
        <f t="shared" si="0"/>
        <v>49800</v>
      </c>
      <c r="N11" s="68">
        <v>54.6</v>
      </c>
      <c r="O11" s="68">
        <v>13.2</v>
      </c>
      <c r="P11" s="68">
        <v>3.7</v>
      </c>
      <c r="Q11" s="68">
        <v>0.8</v>
      </c>
      <c r="R11" s="68">
        <f>SUMIFS('Destination Specs'!$GL$315:$GL$450,'Destination Specs'!$GG$315:$GG$450,$C11,'Destination Specs'!$GI$315:$GI$450,"MT",'Destination Specs'!$GJ$315:$GJ$450,"&lt;="&amp;$O11,'Destination Specs'!$GK$315:$GK$450,"&gt;="&amp;$O11)+SUMIFS('Destination Specs'!$GL$315:$GL$450,'Destination Specs'!$GG$315:$GG$450,$C11,'Destination Specs'!$GI$315:$GI$450,"DMG",'Destination Specs'!$GJ$315:$GJ$450,"&lt;="&amp;$P11,'Destination Specs'!$GK$315:$GK$450,"&gt;="&amp;$P11)+SUMIFS('Destination Specs'!$GL$315:$GL$450,'Destination Specs'!$GG$315:$GG$450,$C11,'Destination Specs'!$GI$315:$GI$450,"FM",'Destination Specs'!$GJ$315:$GJ$450,"&lt;="&amp;$Q11,'Destination Specs'!$GK$315:$GK$450,"&gt;="&amp;$Q11)</f>
        <v>0.23</v>
      </c>
      <c r="S11" s="125">
        <f t="shared" si="1"/>
        <v>830</v>
      </c>
      <c r="T11" s="128">
        <f t="shared" si="2"/>
        <v>190.9</v>
      </c>
    </row>
    <row r="12" spans="1:20">
      <c r="A12" s="121" t="s">
        <v>194</v>
      </c>
      <c r="B12" s="121" t="s">
        <v>166</v>
      </c>
      <c r="C12" s="121" t="s">
        <v>167</v>
      </c>
      <c r="D12" s="121" t="s">
        <v>43</v>
      </c>
      <c r="E12" s="121" t="s">
        <v>150</v>
      </c>
      <c r="F12" s="121" t="s">
        <v>97</v>
      </c>
      <c r="G12" s="121" t="s">
        <v>98</v>
      </c>
      <c r="H12" s="122">
        <v>46268</v>
      </c>
      <c r="I12" s="123">
        <v>0.63749999999999996</v>
      </c>
      <c r="J12" s="123">
        <v>0.6479166666666667</v>
      </c>
      <c r="K12" s="121">
        <v>79840</v>
      </c>
      <c r="L12" s="121">
        <v>30440</v>
      </c>
      <c r="M12" s="121">
        <f t="shared" si="0"/>
        <v>49400</v>
      </c>
      <c r="N12" s="121">
        <v>53.8</v>
      </c>
      <c r="O12" s="121">
        <v>14.4</v>
      </c>
      <c r="P12" s="121">
        <v>4.2</v>
      </c>
      <c r="Q12" s="121">
        <v>2.2999999999999998</v>
      </c>
      <c r="R12" s="121">
        <f>SUMIFS('Destination Specs'!$GL$315:$GL$450,'Destination Specs'!$GG$315:$GG$450,$C12,'Destination Specs'!$GI$315:$GI$450,"MT",'Destination Specs'!$GJ$315:$GJ$450,"&lt;="&amp;$O12,'Destination Specs'!$GK$315:$GK$450,"&gt;="&amp;$O12)+SUMIFS('Destination Specs'!$GL$315:$GL$450,'Destination Specs'!$GG$315:$GG$450,$C12,'Destination Specs'!$GI$315:$GI$450,"DMG",'Destination Specs'!$GJ$315:$GJ$450,"&lt;="&amp;$P12,'Destination Specs'!$GK$315:$GK$450,"&gt;="&amp;$P12)+SUMIFS('Destination Specs'!$GL$315:$GL$450,'Destination Specs'!$GG$315:$GG$450,$C12,'Destination Specs'!$GI$315:$GI$450,"FM",'Destination Specs'!$GJ$315:$GJ$450,"&lt;="&amp;$Q12,'Destination Specs'!$GK$315:$GK$450,"&gt;="&amp;$Q12)</f>
        <v>0.18</v>
      </c>
      <c r="S12" s="126">
        <f t="shared" si="1"/>
        <v>823.33333333333337</v>
      </c>
      <c r="T12" s="129">
        <f t="shared" si="2"/>
        <v>148.19999999999999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3781-310F-48D7-92B1-5A1E0AB53191}">
  <sheetPr>
    <tabColor rgb="FF0070C0"/>
  </sheetPr>
  <dimension ref="A1:GL450"/>
  <sheetViews>
    <sheetView showGridLines="0" workbookViewId="0">
      <selection activeCell="GG392" sqref="GG392"/>
    </sheetView>
  </sheetViews>
  <sheetFormatPr defaultRowHeight="15"/>
  <cols>
    <col min="1" max="1" width="6.7109375" bestFit="1" customWidth="1"/>
    <col min="2" max="3" width="5.140625" bestFit="1" customWidth="1"/>
    <col min="5" max="5" width="4.42578125" customWidth="1"/>
    <col min="6" max="6" width="5.7109375" customWidth="1"/>
    <col min="7" max="7" width="5.140625" bestFit="1" customWidth="1"/>
    <col min="8" max="8" width="8.5703125" bestFit="1" customWidth="1"/>
    <col min="9" max="9" width="8.7109375" bestFit="1" customWidth="1"/>
    <col min="10" max="10" width="3.5703125" customWidth="1"/>
    <col min="11" max="11" width="6.7109375" bestFit="1" customWidth="1"/>
    <col min="12" max="13" width="5.140625" bestFit="1" customWidth="1"/>
    <col min="14" max="14" width="8.5703125" bestFit="1" customWidth="1"/>
    <col min="15" max="15" width="4" customWidth="1"/>
    <col min="16" max="17" width="6.7109375" bestFit="1" customWidth="1"/>
    <col min="18" max="18" width="5.140625" bestFit="1" customWidth="1"/>
    <col min="19" max="19" width="8.7109375" bestFit="1" customWidth="1"/>
    <col min="20" max="20" width="4" customWidth="1"/>
    <col min="21" max="21" width="6.7109375" bestFit="1" customWidth="1"/>
    <col min="22" max="23" width="5.140625" bestFit="1" customWidth="1"/>
    <col min="24" max="24" width="8.7109375" bestFit="1" customWidth="1"/>
    <col min="25" max="25" width="4" customWidth="1"/>
    <col min="26" max="26" width="6.7109375" bestFit="1" customWidth="1"/>
    <col min="27" max="28" width="5.140625" bestFit="1" customWidth="1"/>
    <col min="29" max="29" width="8.7109375" bestFit="1" customWidth="1"/>
  </cols>
  <sheetData>
    <row r="1" spans="1:29">
      <c r="A1" s="233" t="s">
        <v>195</v>
      </c>
      <c r="B1" s="234"/>
      <c r="C1" s="234"/>
      <c r="D1" s="234"/>
      <c r="E1" s="234"/>
      <c r="F1" s="234"/>
      <c r="G1" s="234"/>
      <c r="H1" s="234"/>
      <c r="I1" s="234"/>
      <c r="J1" s="234"/>
      <c r="K1" s="234"/>
      <c r="L1" s="234"/>
      <c r="M1" s="234"/>
      <c r="N1" s="234"/>
      <c r="O1" s="234"/>
      <c r="P1" s="234"/>
      <c r="Q1" s="234"/>
      <c r="R1" s="234"/>
      <c r="S1" s="234"/>
      <c r="T1" s="234"/>
      <c r="U1" s="234"/>
      <c r="V1" s="234"/>
      <c r="W1" s="234"/>
      <c r="X1" s="234"/>
      <c r="Y1" s="234"/>
      <c r="Z1" s="234"/>
      <c r="AA1" s="234"/>
      <c r="AB1" s="234"/>
      <c r="AC1" s="235"/>
    </row>
    <row r="2" spans="1:29">
      <c r="A2" s="236"/>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8"/>
    </row>
    <row r="3" spans="1:29">
      <c r="A3" s="239"/>
      <c r="B3" s="240"/>
      <c r="C3" s="240"/>
      <c r="D3" s="240"/>
      <c r="E3" s="240"/>
      <c r="F3" s="240"/>
      <c r="G3" s="240"/>
      <c r="H3" s="240"/>
      <c r="I3" s="240"/>
      <c r="J3" s="240"/>
      <c r="K3" s="240"/>
      <c r="L3" s="240"/>
      <c r="M3" s="240"/>
      <c r="N3" s="240"/>
      <c r="O3" s="240"/>
      <c r="P3" s="240"/>
      <c r="Q3" s="240"/>
      <c r="R3" s="240"/>
      <c r="S3" s="240"/>
      <c r="T3" s="240"/>
      <c r="U3" s="240"/>
      <c r="V3" s="240"/>
      <c r="W3" s="240"/>
      <c r="X3" s="240"/>
      <c r="Y3" s="240"/>
      <c r="Z3" s="240"/>
      <c r="AA3" s="240"/>
      <c r="AB3" s="240"/>
      <c r="AC3" s="241"/>
    </row>
    <row r="4" spans="1:29">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row>
    <row r="5" spans="1:29" ht="15.75">
      <c r="A5" s="118"/>
      <c r="B5" s="118"/>
      <c r="C5" s="118"/>
      <c r="D5" s="118"/>
      <c r="E5" s="118"/>
      <c r="F5" s="118"/>
      <c r="G5" s="118"/>
      <c r="H5" s="118"/>
      <c r="I5" s="118"/>
      <c r="J5" s="118"/>
      <c r="K5" s="229" t="s">
        <v>196</v>
      </c>
      <c r="L5" s="229"/>
      <c r="M5" s="229"/>
      <c r="N5" s="229"/>
      <c r="O5" s="229"/>
      <c r="P5" s="229"/>
      <c r="Q5" s="229"/>
      <c r="R5" s="229"/>
      <c r="S5" s="229"/>
      <c r="T5" s="118"/>
      <c r="U5" s="118"/>
      <c r="V5" s="118"/>
      <c r="W5" s="118"/>
      <c r="X5" s="118"/>
      <c r="Y5" s="118"/>
      <c r="Z5" s="118"/>
      <c r="AA5" s="118"/>
      <c r="AB5" s="118"/>
      <c r="AC5" s="118"/>
    </row>
    <row r="7" spans="1:29">
      <c r="A7" s="230" t="s">
        <v>143</v>
      </c>
      <c r="B7" s="231"/>
      <c r="C7" s="231"/>
      <c r="D7" s="232"/>
      <c r="F7" s="230" t="s">
        <v>146</v>
      </c>
      <c r="G7" s="231"/>
      <c r="H7" s="231"/>
      <c r="I7" s="232"/>
      <c r="J7" s="1"/>
      <c r="K7" s="230" t="s">
        <v>149</v>
      </c>
      <c r="L7" s="231"/>
      <c r="M7" s="231"/>
      <c r="N7" s="232"/>
      <c r="P7" s="230" t="s">
        <v>155</v>
      </c>
      <c r="Q7" s="231"/>
      <c r="R7" s="231"/>
      <c r="S7" s="232"/>
      <c r="U7" s="230" t="s">
        <v>158</v>
      </c>
      <c r="V7" s="231"/>
      <c r="W7" s="231"/>
      <c r="X7" s="232"/>
      <c r="Z7" s="230" t="s">
        <v>152</v>
      </c>
      <c r="AA7" s="231"/>
      <c r="AB7" s="231"/>
      <c r="AC7" s="232"/>
    </row>
    <row r="8" spans="1:29">
      <c r="A8" s="63" t="s">
        <v>126</v>
      </c>
      <c r="B8" s="116" t="s">
        <v>127</v>
      </c>
      <c r="C8" s="116" t="s">
        <v>128</v>
      </c>
      <c r="D8" s="117" t="s">
        <v>197</v>
      </c>
      <c r="F8" s="63" t="s">
        <v>126</v>
      </c>
      <c r="G8" s="116" t="s">
        <v>127</v>
      </c>
      <c r="H8" s="116" t="s">
        <v>128</v>
      </c>
      <c r="I8" s="117" t="s">
        <v>197</v>
      </c>
      <c r="J8" s="1"/>
      <c r="K8" s="63" t="s">
        <v>126</v>
      </c>
      <c r="L8" s="116" t="s">
        <v>127</v>
      </c>
      <c r="M8" s="116" t="s">
        <v>128</v>
      </c>
      <c r="N8" s="117" t="s">
        <v>197</v>
      </c>
      <c r="P8" s="63" t="s">
        <v>126</v>
      </c>
      <c r="Q8" s="116" t="s">
        <v>127</v>
      </c>
      <c r="R8" s="116" t="s">
        <v>128</v>
      </c>
      <c r="S8" s="117" t="s">
        <v>197</v>
      </c>
      <c r="U8" s="63" t="s">
        <v>126</v>
      </c>
      <c r="V8" s="116" t="s">
        <v>127</v>
      </c>
      <c r="W8" s="116" t="s">
        <v>128</v>
      </c>
      <c r="X8" s="117" t="s">
        <v>197</v>
      </c>
      <c r="Z8" s="63" t="s">
        <v>126</v>
      </c>
      <c r="AA8" s="116" t="s">
        <v>127</v>
      </c>
      <c r="AB8" s="116" t="s">
        <v>128</v>
      </c>
      <c r="AC8" s="117" t="s">
        <v>197</v>
      </c>
    </row>
    <row r="9" spans="1:29">
      <c r="A9" s="111" t="s">
        <v>198</v>
      </c>
      <c r="B9" s="1">
        <v>15.1</v>
      </c>
      <c r="C9" s="1">
        <v>16</v>
      </c>
      <c r="D9" s="112">
        <v>0.02</v>
      </c>
      <c r="F9" s="111" t="s">
        <v>198</v>
      </c>
      <c r="G9" s="1">
        <v>15.1</v>
      </c>
      <c r="H9" s="1">
        <v>16</v>
      </c>
      <c r="I9" s="112">
        <v>0.02</v>
      </c>
      <c r="J9" s="1"/>
      <c r="K9" s="111" t="s">
        <v>198</v>
      </c>
      <c r="L9" s="1">
        <v>15.1</v>
      </c>
      <c r="M9" s="1">
        <v>16</v>
      </c>
      <c r="N9" s="112">
        <v>0.02</v>
      </c>
      <c r="P9" s="111" t="s">
        <v>198</v>
      </c>
      <c r="Q9" s="1">
        <v>15.1</v>
      </c>
      <c r="R9" s="1">
        <v>16</v>
      </c>
      <c r="S9" s="112">
        <v>0.02</v>
      </c>
      <c r="U9" s="111" t="s">
        <v>198</v>
      </c>
      <c r="V9" s="1">
        <v>15.1</v>
      </c>
      <c r="W9" s="1">
        <v>16</v>
      </c>
      <c r="X9" s="112">
        <v>0.02</v>
      </c>
      <c r="Z9" s="111" t="s">
        <v>198</v>
      </c>
      <c r="AA9" s="1">
        <v>14.6</v>
      </c>
      <c r="AB9" s="1">
        <v>15</v>
      </c>
      <c r="AC9" s="112">
        <v>0.03</v>
      </c>
    </row>
    <row r="10" spans="1:29">
      <c r="A10" s="111" t="s">
        <v>198</v>
      </c>
      <c r="B10" s="1">
        <v>16.100000000000001</v>
      </c>
      <c r="C10" s="1">
        <v>17</v>
      </c>
      <c r="D10" s="112">
        <v>0.05</v>
      </c>
      <c r="F10" s="111" t="s">
        <v>198</v>
      </c>
      <c r="G10" s="1">
        <v>16.100000000000001</v>
      </c>
      <c r="H10" s="1">
        <v>17</v>
      </c>
      <c r="I10" s="112">
        <v>0.05</v>
      </c>
      <c r="J10" s="1"/>
      <c r="K10" s="111" t="s">
        <v>198</v>
      </c>
      <c r="L10" s="1">
        <v>16.100000000000001</v>
      </c>
      <c r="M10" s="1">
        <v>17</v>
      </c>
      <c r="N10" s="112">
        <v>0.05</v>
      </c>
      <c r="P10" s="111" t="s">
        <v>198</v>
      </c>
      <c r="Q10" s="1">
        <v>16.100000000000001</v>
      </c>
      <c r="R10" s="1">
        <v>17</v>
      </c>
      <c r="S10" s="112">
        <v>0.05</v>
      </c>
      <c r="U10" s="111" t="s">
        <v>198</v>
      </c>
      <c r="V10" s="1">
        <v>16.100000000000001</v>
      </c>
      <c r="W10" s="1">
        <v>17</v>
      </c>
      <c r="X10" s="112">
        <v>0.05</v>
      </c>
      <c r="Z10" s="111" t="s">
        <v>198</v>
      </c>
      <c r="AA10" s="1">
        <v>15.1</v>
      </c>
      <c r="AB10" s="1">
        <v>16</v>
      </c>
      <c r="AC10" s="112">
        <v>0.08</v>
      </c>
    </row>
    <row r="11" spans="1:29">
      <c r="A11" s="111" t="s">
        <v>198</v>
      </c>
      <c r="B11" s="1">
        <v>17.100000000000001</v>
      </c>
      <c r="C11" s="1">
        <v>18</v>
      </c>
      <c r="D11" s="112">
        <v>0.1</v>
      </c>
      <c r="F11" s="111" t="s">
        <v>198</v>
      </c>
      <c r="G11" s="1">
        <v>17.100000000000001</v>
      </c>
      <c r="H11" s="1">
        <v>18</v>
      </c>
      <c r="I11" s="112">
        <v>0.1</v>
      </c>
      <c r="J11" s="1"/>
      <c r="K11" s="111" t="s">
        <v>198</v>
      </c>
      <c r="L11" s="1">
        <v>17.100000000000001</v>
      </c>
      <c r="M11" s="1">
        <v>18</v>
      </c>
      <c r="N11" s="112">
        <v>0.1</v>
      </c>
      <c r="P11" s="111" t="s">
        <v>198</v>
      </c>
      <c r="Q11" s="1">
        <v>17.100000000000001</v>
      </c>
      <c r="R11" s="1">
        <v>18</v>
      </c>
      <c r="S11" s="112">
        <v>0.1</v>
      </c>
      <c r="U11" s="111" t="s">
        <v>198</v>
      </c>
      <c r="V11" s="1">
        <v>17.100000000000001</v>
      </c>
      <c r="W11" s="1">
        <v>18</v>
      </c>
      <c r="X11" s="112">
        <v>0.1</v>
      </c>
      <c r="Z11" s="111" t="s">
        <v>198</v>
      </c>
      <c r="AA11" s="1">
        <v>16.100000000000001</v>
      </c>
      <c r="AB11" s="1">
        <v>17</v>
      </c>
      <c r="AC11" s="112">
        <v>0.15</v>
      </c>
    </row>
    <row r="12" spans="1:29">
      <c r="A12" s="111" t="s">
        <v>198</v>
      </c>
      <c r="B12" s="1">
        <v>18.100000000000001</v>
      </c>
      <c r="C12" s="1">
        <v>99.9</v>
      </c>
      <c r="D12" s="112">
        <v>0.25</v>
      </c>
      <c r="F12" s="111" t="s">
        <v>198</v>
      </c>
      <c r="G12" s="1">
        <v>18.100000000000001</v>
      </c>
      <c r="H12" s="1">
        <v>99.9</v>
      </c>
      <c r="I12" s="112">
        <v>0.25</v>
      </c>
      <c r="J12" s="1"/>
      <c r="K12" s="111" t="s">
        <v>198</v>
      </c>
      <c r="L12" s="1">
        <v>18.100000000000001</v>
      </c>
      <c r="M12" s="1">
        <v>99.9</v>
      </c>
      <c r="N12" s="112">
        <v>0.25</v>
      </c>
      <c r="P12" s="111" t="s">
        <v>198</v>
      </c>
      <c r="Q12" s="1">
        <v>18.100000000000001</v>
      </c>
      <c r="R12" s="1">
        <v>99.9</v>
      </c>
      <c r="S12" s="112">
        <v>0.25</v>
      </c>
      <c r="U12" s="111" t="s">
        <v>198</v>
      </c>
      <c r="V12" s="1">
        <v>18.100000000000001</v>
      </c>
      <c r="W12" s="1">
        <v>99.9</v>
      </c>
      <c r="X12" s="112">
        <v>0.25</v>
      </c>
      <c r="Z12" s="111" t="s">
        <v>198</v>
      </c>
      <c r="AA12" s="1">
        <v>17.100000000000001</v>
      </c>
      <c r="AB12" s="1">
        <v>99.9</v>
      </c>
      <c r="AC12" s="112">
        <v>0.3</v>
      </c>
    </row>
    <row r="13" spans="1:29">
      <c r="A13" s="111" t="s">
        <v>199</v>
      </c>
      <c r="B13" s="1">
        <v>3.1</v>
      </c>
      <c r="C13" s="1">
        <v>4</v>
      </c>
      <c r="D13" s="112">
        <v>0.03</v>
      </c>
      <c r="F13" s="111" t="s">
        <v>199</v>
      </c>
      <c r="G13" s="1">
        <v>3.1</v>
      </c>
      <c r="H13" s="1">
        <v>4</v>
      </c>
      <c r="I13" s="112">
        <v>0.03</v>
      </c>
      <c r="J13" s="1"/>
      <c r="K13" s="111" t="s">
        <v>199</v>
      </c>
      <c r="L13" s="1">
        <v>3.1</v>
      </c>
      <c r="M13" s="1">
        <v>4</v>
      </c>
      <c r="N13" s="112">
        <v>0.03</v>
      </c>
      <c r="P13" s="111" t="s">
        <v>199</v>
      </c>
      <c r="Q13" s="1">
        <v>3.1</v>
      </c>
      <c r="R13" s="1">
        <v>4</v>
      </c>
      <c r="S13" s="112">
        <v>0.03</v>
      </c>
      <c r="U13" s="111" t="s">
        <v>199</v>
      </c>
      <c r="V13" s="1">
        <v>3.1</v>
      </c>
      <c r="W13" s="1">
        <v>4</v>
      </c>
      <c r="X13" s="112">
        <v>0.03</v>
      </c>
      <c r="Z13" s="111" t="s">
        <v>199</v>
      </c>
      <c r="AA13" s="1">
        <v>2.1</v>
      </c>
      <c r="AB13" s="1">
        <v>3</v>
      </c>
      <c r="AC13" s="112">
        <v>0.05</v>
      </c>
    </row>
    <row r="14" spans="1:29">
      <c r="A14" s="111" t="s">
        <v>199</v>
      </c>
      <c r="B14" s="1">
        <v>4.0999999999999996</v>
      </c>
      <c r="C14" s="1">
        <v>5</v>
      </c>
      <c r="D14" s="112">
        <v>0.08</v>
      </c>
      <c r="F14" s="111" t="s">
        <v>199</v>
      </c>
      <c r="G14" s="1">
        <v>4.0999999999999996</v>
      </c>
      <c r="H14" s="1">
        <v>5</v>
      </c>
      <c r="I14" s="112">
        <v>0.08</v>
      </c>
      <c r="J14" s="1"/>
      <c r="K14" s="111" t="s">
        <v>199</v>
      </c>
      <c r="L14" s="1">
        <v>4.0999999999999996</v>
      </c>
      <c r="M14" s="1">
        <v>5</v>
      </c>
      <c r="N14" s="112">
        <v>0.08</v>
      </c>
      <c r="P14" s="111" t="s">
        <v>199</v>
      </c>
      <c r="Q14" s="1">
        <v>4.0999999999999996</v>
      </c>
      <c r="R14" s="1">
        <v>5</v>
      </c>
      <c r="S14" s="112">
        <v>0.08</v>
      </c>
      <c r="U14" s="111" t="s">
        <v>199</v>
      </c>
      <c r="V14" s="1">
        <v>4.0999999999999996</v>
      </c>
      <c r="W14" s="1">
        <v>5</v>
      </c>
      <c r="X14" s="112">
        <v>0.08</v>
      </c>
      <c r="Z14" s="111" t="s">
        <v>199</v>
      </c>
      <c r="AA14" s="1">
        <v>3.1</v>
      </c>
      <c r="AB14" s="1">
        <v>4</v>
      </c>
      <c r="AC14" s="112">
        <v>0.12</v>
      </c>
    </row>
    <row r="15" spans="1:29">
      <c r="A15" s="111" t="s">
        <v>199</v>
      </c>
      <c r="B15" s="1">
        <v>5.0999999999999996</v>
      </c>
      <c r="C15" s="1">
        <v>6</v>
      </c>
      <c r="D15" s="112">
        <v>0.15</v>
      </c>
      <c r="F15" s="111" t="s">
        <v>199</v>
      </c>
      <c r="G15" s="1">
        <v>5.0999999999999996</v>
      </c>
      <c r="H15" s="1">
        <v>6</v>
      </c>
      <c r="I15" s="112">
        <v>0.15</v>
      </c>
      <c r="J15" s="1"/>
      <c r="K15" s="111" t="s">
        <v>199</v>
      </c>
      <c r="L15" s="1">
        <v>5.0999999999999996</v>
      </c>
      <c r="M15" s="1">
        <v>6</v>
      </c>
      <c r="N15" s="112">
        <v>0.15</v>
      </c>
      <c r="P15" s="111" t="s">
        <v>199</v>
      </c>
      <c r="Q15" s="1">
        <v>5.0999999999999996</v>
      </c>
      <c r="R15" s="1">
        <v>6</v>
      </c>
      <c r="S15" s="112">
        <v>0.15</v>
      </c>
      <c r="U15" s="111" t="s">
        <v>199</v>
      </c>
      <c r="V15" s="1">
        <v>5.0999999999999996</v>
      </c>
      <c r="W15" s="1">
        <v>6</v>
      </c>
      <c r="X15" s="112">
        <v>0.15</v>
      </c>
      <c r="Z15" s="111" t="s">
        <v>199</v>
      </c>
      <c r="AA15" s="1">
        <v>4.0999999999999996</v>
      </c>
      <c r="AB15" s="1">
        <v>5</v>
      </c>
      <c r="AC15" s="112">
        <v>0.2</v>
      </c>
    </row>
    <row r="16" spans="1:29">
      <c r="A16" s="111" t="s">
        <v>199</v>
      </c>
      <c r="B16" s="1">
        <v>6.1</v>
      </c>
      <c r="C16" s="1">
        <v>99.9</v>
      </c>
      <c r="D16" s="112">
        <v>0.25</v>
      </c>
      <c r="F16" s="111" t="s">
        <v>199</v>
      </c>
      <c r="G16" s="1">
        <v>6.1</v>
      </c>
      <c r="H16" s="1">
        <v>99.9</v>
      </c>
      <c r="I16" s="112">
        <v>0.25</v>
      </c>
      <c r="J16" s="1"/>
      <c r="K16" s="111" t="s">
        <v>199</v>
      </c>
      <c r="L16" s="1">
        <v>6.1</v>
      </c>
      <c r="M16" s="1">
        <v>99.9</v>
      </c>
      <c r="N16" s="112">
        <v>0.25</v>
      </c>
      <c r="P16" s="111" t="s">
        <v>199</v>
      </c>
      <c r="Q16" s="1">
        <v>6.1</v>
      </c>
      <c r="R16" s="1">
        <v>99.9</v>
      </c>
      <c r="S16" s="112">
        <v>0.25</v>
      </c>
      <c r="U16" s="111" t="s">
        <v>199</v>
      </c>
      <c r="V16" s="1">
        <v>6.1</v>
      </c>
      <c r="W16" s="1">
        <v>99.9</v>
      </c>
      <c r="X16" s="112">
        <v>0.25</v>
      </c>
      <c r="Z16" s="111" t="s">
        <v>199</v>
      </c>
      <c r="AA16" s="1">
        <v>5.0999999999999996</v>
      </c>
      <c r="AB16" s="1">
        <v>99.9</v>
      </c>
      <c r="AC16" s="112">
        <v>0.35</v>
      </c>
    </row>
    <row r="17" spans="1:29">
      <c r="A17" s="111" t="s">
        <v>133</v>
      </c>
      <c r="B17" s="1">
        <v>1.1000000000000001</v>
      </c>
      <c r="C17" s="1">
        <v>2</v>
      </c>
      <c r="D17" s="112">
        <v>0.02</v>
      </c>
      <c r="F17" s="111" t="s">
        <v>133</v>
      </c>
      <c r="G17" s="1">
        <v>1.1000000000000001</v>
      </c>
      <c r="H17" s="1">
        <v>2</v>
      </c>
      <c r="I17" s="112">
        <v>0.02</v>
      </c>
      <c r="J17" s="1"/>
      <c r="K17" s="111" t="s">
        <v>133</v>
      </c>
      <c r="L17" s="1">
        <v>1.1000000000000001</v>
      </c>
      <c r="M17" s="1">
        <v>2</v>
      </c>
      <c r="N17" s="112">
        <v>0.02</v>
      </c>
      <c r="P17" s="111" t="s">
        <v>133</v>
      </c>
      <c r="Q17" s="1">
        <v>1.1000000000000001</v>
      </c>
      <c r="R17" s="1">
        <v>2</v>
      </c>
      <c r="S17" s="112">
        <v>0.02</v>
      </c>
      <c r="U17" s="111" t="s">
        <v>133</v>
      </c>
      <c r="V17" s="1">
        <v>1.1000000000000001</v>
      </c>
      <c r="W17" s="1">
        <v>2</v>
      </c>
      <c r="X17" s="112">
        <v>0.02</v>
      </c>
      <c r="Z17" s="111" t="s">
        <v>133</v>
      </c>
      <c r="AA17" s="1">
        <v>0.6</v>
      </c>
      <c r="AB17" s="1">
        <v>1</v>
      </c>
      <c r="AC17" s="112">
        <v>0.03</v>
      </c>
    </row>
    <row r="18" spans="1:29">
      <c r="A18" s="111" t="s">
        <v>133</v>
      </c>
      <c r="B18" s="1">
        <v>2.1</v>
      </c>
      <c r="C18" s="1">
        <v>3</v>
      </c>
      <c r="D18" s="112">
        <v>0.05</v>
      </c>
      <c r="F18" s="111" t="s">
        <v>133</v>
      </c>
      <c r="G18" s="1">
        <v>2.1</v>
      </c>
      <c r="H18" s="1">
        <v>3</v>
      </c>
      <c r="I18" s="112">
        <v>0.05</v>
      </c>
      <c r="J18" s="1"/>
      <c r="K18" s="111" t="s">
        <v>133</v>
      </c>
      <c r="L18" s="1">
        <v>2.1</v>
      </c>
      <c r="M18" s="1">
        <v>3</v>
      </c>
      <c r="N18" s="112">
        <v>0.05</v>
      </c>
      <c r="P18" s="111" t="s">
        <v>133</v>
      </c>
      <c r="Q18" s="1">
        <v>2.1</v>
      </c>
      <c r="R18" s="1">
        <v>3</v>
      </c>
      <c r="S18" s="112">
        <v>0.05</v>
      </c>
      <c r="U18" s="111" t="s">
        <v>133</v>
      </c>
      <c r="V18" s="1">
        <v>2.1</v>
      </c>
      <c r="W18" s="1">
        <v>3</v>
      </c>
      <c r="X18" s="112">
        <v>0.05</v>
      </c>
      <c r="Z18" s="111" t="s">
        <v>133</v>
      </c>
      <c r="AA18" s="1">
        <v>1.1000000000000001</v>
      </c>
      <c r="AB18" s="1">
        <v>2</v>
      </c>
      <c r="AC18" s="112">
        <v>0.08</v>
      </c>
    </row>
    <row r="19" spans="1:29">
      <c r="A19" s="113" t="s">
        <v>133</v>
      </c>
      <c r="B19" s="114">
        <v>3.1</v>
      </c>
      <c r="C19" s="114">
        <v>99.9</v>
      </c>
      <c r="D19" s="115">
        <v>0.1</v>
      </c>
      <c r="F19" s="113" t="s">
        <v>133</v>
      </c>
      <c r="G19" s="114">
        <v>3.1</v>
      </c>
      <c r="H19" s="114">
        <v>99.9</v>
      </c>
      <c r="I19" s="115">
        <v>0.1</v>
      </c>
      <c r="J19" s="1"/>
      <c r="K19" s="113" t="s">
        <v>133</v>
      </c>
      <c r="L19" s="114">
        <v>3.1</v>
      </c>
      <c r="M19" s="114">
        <v>99.9</v>
      </c>
      <c r="N19" s="115">
        <v>0.1</v>
      </c>
      <c r="P19" s="113" t="s">
        <v>133</v>
      </c>
      <c r="Q19" s="114">
        <v>3.1</v>
      </c>
      <c r="R19" s="114">
        <v>99.9</v>
      </c>
      <c r="S19" s="115">
        <v>0.1</v>
      </c>
      <c r="U19" s="113" t="s">
        <v>133</v>
      </c>
      <c r="V19" s="114">
        <v>3.1</v>
      </c>
      <c r="W19" s="114">
        <v>99.9</v>
      </c>
      <c r="X19" s="115">
        <v>0.1</v>
      </c>
      <c r="Z19" s="113" t="s">
        <v>133</v>
      </c>
      <c r="AA19" s="114">
        <v>2.1</v>
      </c>
      <c r="AB19" s="114">
        <v>99.9</v>
      </c>
      <c r="AC19" s="115">
        <v>0.2</v>
      </c>
    </row>
    <row r="20" spans="1:29" ht="15.75">
      <c r="A20" s="1"/>
      <c r="B20" s="1"/>
      <c r="C20" s="1"/>
      <c r="D20" s="1"/>
      <c r="F20" s="1"/>
      <c r="G20" s="1"/>
      <c r="H20" s="1"/>
      <c r="I20" s="1"/>
      <c r="J20" s="1"/>
      <c r="K20" s="119"/>
      <c r="L20" s="119"/>
      <c r="M20" s="119"/>
      <c r="N20" s="119"/>
      <c r="O20" s="119"/>
      <c r="P20" s="119"/>
      <c r="Q20" s="119"/>
      <c r="R20" s="119"/>
      <c r="S20" s="119"/>
      <c r="U20" s="1"/>
      <c r="V20" s="1"/>
      <c r="W20" s="1"/>
      <c r="X20" s="1"/>
      <c r="Z20" s="1"/>
      <c r="AA20" s="1"/>
      <c r="AB20" s="1"/>
      <c r="AC20" s="1"/>
    </row>
    <row r="21" spans="1:29" ht="15" customHeight="1">
      <c r="A21" s="1"/>
      <c r="B21" s="1"/>
      <c r="C21" s="1"/>
      <c r="D21" s="1"/>
      <c r="F21" s="1"/>
      <c r="G21" s="1"/>
      <c r="H21" s="1"/>
      <c r="I21" s="1"/>
      <c r="J21" s="1"/>
      <c r="K21" s="246" t="s">
        <v>200</v>
      </c>
      <c r="L21" s="246"/>
      <c r="M21" s="246"/>
      <c r="N21" s="246"/>
      <c r="O21" s="246"/>
      <c r="P21" s="246"/>
      <c r="Q21" s="246"/>
      <c r="R21" s="246"/>
      <c r="S21" s="246"/>
      <c r="U21" s="1"/>
      <c r="V21" s="1"/>
      <c r="W21" s="1"/>
      <c r="X21" s="1"/>
      <c r="Z21" s="1"/>
      <c r="AA21" s="1"/>
      <c r="AB21" s="1"/>
      <c r="AC21" s="1"/>
    </row>
    <row r="22" spans="1:29" ht="15" customHeight="1">
      <c r="A22" s="1"/>
      <c r="B22" s="1"/>
      <c r="C22" s="1"/>
      <c r="D22" s="1"/>
      <c r="F22" s="1"/>
      <c r="G22" s="1"/>
      <c r="H22" s="1"/>
      <c r="I22" s="1"/>
      <c r="J22" s="1"/>
      <c r="K22" s="119"/>
      <c r="L22" s="119"/>
      <c r="M22" s="119"/>
      <c r="N22" s="119"/>
      <c r="O22" s="119"/>
      <c r="P22" s="119"/>
      <c r="Q22" s="119"/>
      <c r="R22" s="119"/>
      <c r="S22" s="119"/>
      <c r="U22" s="1"/>
      <c r="V22" s="1"/>
      <c r="W22" s="1"/>
      <c r="X22" s="1"/>
      <c r="Z22" s="1"/>
      <c r="AA22" s="1"/>
      <c r="AB22" s="1"/>
      <c r="AC22" s="1"/>
    </row>
    <row r="23" spans="1:29">
      <c r="A23" s="242" t="s">
        <v>163</v>
      </c>
      <c r="B23" s="243"/>
      <c r="C23" s="243"/>
      <c r="D23" s="244"/>
      <c r="F23" s="242" t="s">
        <v>169</v>
      </c>
      <c r="G23" s="243"/>
      <c r="H23" s="243"/>
      <c r="I23" s="244"/>
      <c r="K23" s="242" t="s">
        <v>171</v>
      </c>
      <c r="L23" s="243"/>
      <c r="M23" s="243"/>
      <c r="N23" s="244"/>
      <c r="P23" s="242" t="s">
        <v>167</v>
      </c>
      <c r="Q23" s="243"/>
      <c r="R23" s="243"/>
      <c r="S23" s="244"/>
      <c r="U23" s="245" t="s">
        <v>165</v>
      </c>
      <c r="V23" s="243"/>
      <c r="W23" s="243"/>
      <c r="X23" s="244"/>
      <c r="Z23" s="245" t="s">
        <v>173</v>
      </c>
      <c r="AA23" s="243"/>
      <c r="AB23" s="243"/>
      <c r="AC23" s="244"/>
    </row>
    <row r="24" spans="1:29">
      <c r="A24" s="63" t="s">
        <v>126</v>
      </c>
      <c r="B24" s="116" t="s">
        <v>127</v>
      </c>
      <c r="C24" s="116" t="s">
        <v>128</v>
      </c>
      <c r="D24" s="117" t="s">
        <v>197</v>
      </c>
      <c r="F24" s="63" t="s">
        <v>126</v>
      </c>
      <c r="G24" s="116" t="s">
        <v>127</v>
      </c>
      <c r="H24" s="116" t="s">
        <v>128</v>
      </c>
      <c r="I24" s="117" t="s">
        <v>197</v>
      </c>
      <c r="K24" s="63" t="s">
        <v>126</v>
      </c>
      <c r="L24" s="116" t="s">
        <v>127</v>
      </c>
      <c r="M24" s="116" t="s">
        <v>128</v>
      </c>
      <c r="N24" s="117" t="s">
        <v>197</v>
      </c>
      <c r="P24" s="63" t="s">
        <v>126</v>
      </c>
      <c r="Q24" s="116" t="s">
        <v>127</v>
      </c>
      <c r="R24" s="116" t="s">
        <v>128</v>
      </c>
      <c r="S24" s="117" t="s">
        <v>197</v>
      </c>
      <c r="U24" s="63" t="s">
        <v>126</v>
      </c>
      <c r="V24" s="116" t="s">
        <v>127</v>
      </c>
      <c r="W24" s="116" t="s">
        <v>128</v>
      </c>
      <c r="X24" s="117" t="s">
        <v>197</v>
      </c>
      <c r="Z24" s="63" t="s">
        <v>126</v>
      </c>
      <c r="AA24" s="116" t="s">
        <v>127</v>
      </c>
      <c r="AB24" s="116" t="s">
        <v>128</v>
      </c>
      <c r="AC24" s="117" t="s">
        <v>197</v>
      </c>
    </row>
    <row r="25" spans="1:29">
      <c r="A25" s="111" t="s">
        <v>198</v>
      </c>
      <c r="B25" s="1">
        <v>13.1</v>
      </c>
      <c r="C25" s="1">
        <v>14</v>
      </c>
      <c r="D25" s="112">
        <v>0.02</v>
      </c>
      <c r="F25" s="111" t="s">
        <v>198</v>
      </c>
      <c r="G25" s="1">
        <v>13.1</v>
      </c>
      <c r="H25" s="1">
        <v>14</v>
      </c>
      <c r="I25" s="112">
        <v>0.02</v>
      </c>
      <c r="K25" s="111" t="s">
        <v>198</v>
      </c>
      <c r="L25" s="1">
        <v>13.1</v>
      </c>
      <c r="M25" s="1">
        <v>14</v>
      </c>
      <c r="N25" s="112">
        <v>0.02</v>
      </c>
      <c r="P25" s="111" t="s">
        <v>198</v>
      </c>
      <c r="Q25" s="1">
        <v>13.1</v>
      </c>
      <c r="R25" s="1">
        <v>14</v>
      </c>
      <c r="S25" s="112">
        <v>0.02</v>
      </c>
      <c r="U25" s="111" t="s">
        <v>198</v>
      </c>
      <c r="V25" s="1">
        <v>12.6</v>
      </c>
      <c r="W25" s="1">
        <v>13</v>
      </c>
      <c r="X25" s="112">
        <v>0.03</v>
      </c>
      <c r="Z25" s="111" t="s">
        <v>198</v>
      </c>
      <c r="AA25" s="1">
        <v>12.6</v>
      </c>
      <c r="AB25" s="1">
        <v>13</v>
      </c>
      <c r="AC25" s="112">
        <v>0.03</v>
      </c>
    </row>
    <row r="26" spans="1:29">
      <c r="A26" s="111" t="s">
        <v>198</v>
      </c>
      <c r="B26" s="1">
        <v>14.1</v>
      </c>
      <c r="C26" s="1">
        <v>15</v>
      </c>
      <c r="D26" s="112">
        <v>0.05</v>
      </c>
      <c r="F26" s="111" t="s">
        <v>198</v>
      </c>
      <c r="G26" s="1">
        <v>14.1</v>
      </c>
      <c r="H26" s="1">
        <v>15</v>
      </c>
      <c r="I26" s="112">
        <v>0.05</v>
      </c>
      <c r="K26" s="111" t="s">
        <v>198</v>
      </c>
      <c r="L26" s="1">
        <v>14.1</v>
      </c>
      <c r="M26" s="1">
        <v>15</v>
      </c>
      <c r="N26" s="112">
        <v>0.05</v>
      </c>
      <c r="P26" s="111" t="s">
        <v>198</v>
      </c>
      <c r="Q26" s="1">
        <v>14.1</v>
      </c>
      <c r="R26" s="1">
        <v>15</v>
      </c>
      <c r="S26" s="112">
        <v>0.05</v>
      </c>
      <c r="U26" s="111" t="s">
        <v>198</v>
      </c>
      <c r="V26" s="1">
        <v>13.1</v>
      </c>
      <c r="W26" s="1">
        <v>14</v>
      </c>
      <c r="X26" s="112">
        <v>0.08</v>
      </c>
      <c r="Z26" s="111" t="s">
        <v>198</v>
      </c>
      <c r="AA26" s="1">
        <v>13.1</v>
      </c>
      <c r="AB26" s="1">
        <v>14</v>
      </c>
      <c r="AC26" s="112">
        <v>0.08</v>
      </c>
    </row>
    <row r="27" spans="1:29">
      <c r="A27" s="111" t="s">
        <v>198</v>
      </c>
      <c r="B27" s="1">
        <v>15.1</v>
      </c>
      <c r="C27" s="1">
        <v>16</v>
      </c>
      <c r="D27" s="112">
        <v>0.1</v>
      </c>
      <c r="F27" s="111" t="s">
        <v>198</v>
      </c>
      <c r="G27" s="1">
        <v>15.1</v>
      </c>
      <c r="H27" s="1">
        <v>16</v>
      </c>
      <c r="I27" s="112">
        <v>0.1</v>
      </c>
      <c r="K27" s="111" t="s">
        <v>198</v>
      </c>
      <c r="L27" s="1">
        <v>15.1</v>
      </c>
      <c r="M27" s="1">
        <v>16</v>
      </c>
      <c r="N27" s="112">
        <v>0.1</v>
      </c>
      <c r="P27" s="111" t="s">
        <v>198</v>
      </c>
      <c r="Q27" s="1">
        <v>15.1</v>
      </c>
      <c r="R27" s="1">
        <v>16</v>
      </c>
      <c r="S27" s="112">
        <v>0.1</v>
      </c>
      <c r="U27" s="111" t="s">
        <v>198</v>
      </c>
      <c r="V27" s="1">
        <v>14.1</v>
      </c>
      <c r="W27" s="1">
        <v>15</v>
      </c>
      <c r="X27" s="112">
        <v>0.15</v>
      </c>
      <c r="Z27" s="111" t="s">
        <v>198</v>
      </c>
      <c r="AA27" s="1">
        <v>14.1</v>
      </c>
      <c r="AB27" s="1">
        <v>15</v>
      </c>
      <c r="AC27" s="112">
        <v>0.15</v>
      </c>
    </row>
    <row r="28" spans="1:29">
      <c r="A28" s="111" t="s">
        <v>198</v>
      </c>
      <c r="B28" s="1">
        <v>16.100000000000001</v>
      </c>
      <c r="C28" s="1">
        <v>99.9</v>
      </c>
      <c r="D28" s="112">
        <v>0.25</v>
      </c>
      <c r="F28" s="111" t="s">
        <v>198</v>
      </c>
      <c r="G28" s="1">
        <v>16.100000000000001</v>
      </c>
      <c r="H28" s="1">
        <v>99.9</v>
      </c>
      <c r="I28" s="112">
        <v>0.25</v>
      </c>
      <c r="K28" s="111" t="s">
        <v>198</v>
      </c>
      <c r="L28" s="1">
        <v>16.100000000000001</v>
      </c>
      <c r="M28" s="1">
        <v>99.9</v>
      </c>
      <c r="N28" s="112">
        <v>0.25</v>
      </c>
      <c r="P28" s="111" t="s">
        <v>198</v>
      </c>
      <c r="Q28" s="1">
        <v>16.100000000000001</v>
      </c>
      <c r="R28" s="1">
        <v>99.9</v>
      </c>
      <c r="S28" s="112">
        <v>0.25</v>
      </c>
      <c r="U28" s="111" t="s">
        <v>198</v>
      </c>
      <c r="V28" s="1">
        <v>15.1</v>
      </c>
      <c r="W28" s="1">
        <v>99.9</v>
      </c>
      <c r="X28" s="112">
        <v>0.3</v>
      </c>
      <c r="Z28" s="111" t="s">
        <v>198</v>
      </c>
      <c r="AA28" s="1">
        <v>15.1</v>
      </c>
      <c r="AB28" s="1">
        <v>99.9</v>
      </c>
      <c r="AC28" s="112">
        <v>0.3</v>
      </c>
    </row>
    <row r="29" spans="1:29">
      <c r="A29" s="111" t="s">
        <v>199</v>
      </c>
      <c r="B29" s="1">
        <v>3.1</v>
      </c>
      <c r="C29" s="1">
        <v>4</v>
      </c>
      <c r="D29" s="112">
        <v>0.03</v>
      </c>
      <c r="F29" s="111" t="s">
        <v>199</v>
      </c>
      <c r="G29" s="1">
        <v>3.1</v>
      </c>
      <c r="H29" s="1">
        <v>4</v>
      </c>
      <c r="I29" s="112">
        <v>0.03</v>
      </c>
      <c r="K29" s="111" t="s">
        <v>199</v>
      </c>
      <c r="L29" s="1">
        <v>3.1</v>
      </c>
      <c r="M29" s="1">
        <v>4</v>
      </c>
      <c r="N29" s="112">
        <v>0.03</v>
      </c>
      <c r="P29" s="111" t="s">
        <v>199</v>
      </c>
      <c r="Q29" s="1">
        <v>3.1</v>
      </c>
      <c r="R29" s="1">
        <v>4</v>
      </c>
      <c r="S29" s="112">
        <v>0.03</v>
      </c>
      <c r="U29" s="111" t="s">
        <v>199</v>
      </c>
      <c r="V29" s="1">
        <v>2.1</v>
      </c>
      <c r="W29" s="1">
        <v>3</v>
      </c>
      <c r="X29" s="112">
        <v>0.05</v>
      </c>
      <c r="Z29" s="111" t="s">
        <v>199</v>
      </c>
      <c r="AA29" s="1">
        <v>2.1</v>
      </c>
      <c r="AB29" s="1">
        <v>3</v>
      </c>
      <c r="AC29" s="112">
        <v>0.05</v>
      </c>
    </row>
    <row r="30" spans="1:29">
      <c r="A30" s="111" t="s">
        <v>199</v>
      </c>
      <c r="B30" s="1">
        <v>4.0999999999999996</v>
      </c>
      <c r="C30" s="1">
        <v>5</v>
      </c>
      <c r="D30" s="112">
        <v>0.08</v>
      </c>
      <c r="F30" s="111" t="s">
        <v>199</v>
      </c>
      <c r="G30" s="1">
        <v>4.0999999999999996</v>
      </c>
      <c r="H30" s="1">
        <v>5</v>
      </c>
      <c r="I30" s="112">
        <v>0.08</v>
      </c>
      <c r="K30" s="111" t="s">
        <v>199</v>
      </c>
      <c r="L30" s="1">
        <v>4.0999999999999996</v>
      </c>
      <c r="M30" s="1">
        <v>5</v>
      </c>
      <c r="N30" s="112">
        <v>0.08</v>
      </c>
      <c r="P30" s="111" t="s">
        <v>199</v>
      </c>
      <c r="Q30" s="1">
        <v>4.0999999999999996</v>
      </c>
      <c r="R30" s="1">
        <v>5</v>
      </c>
      <c r="S30" s="112">
        <v>0.08</v>
      </c>
      <c r="U30" s="111" t="s">
        <v>199</v>
      </c>
      <c r="V30" s="1">
        <v>3.1</v>
      </c>
      <c r="W30" s="1">
        <v>4</v>
      </c>
      <c r="X30" s="112">
        <v>0.12</v>
      </c>
      <c r="Z30" s="111" t="s">
        <v>199</v>
      </c>
      <c r="AA30" s="1">
        <v>3.1</v>
      </c>
      <c r="AB30" s="1">
        <v>4</v>
      </c>
      <c r="AC30" s="112">
        <v>0.12</v>
      </c>
    </row>
    <row r="31" spans="1:29">
      <c r="A31" s="111" t="s">
        <v>199</v>
      </c>
      <c r="B31" s="1">
        <v>5.0999999999999996</v>
      </c>
      <c r="C31" s="1">
        <v>6</v>
      </c>
      <c r="D31" s="112">
        <v>0.15</v>
      </c>
      <c r="F31" s="111" t="s">
        <v>199</v>
      </c>
      <c r="G31" s="1">
        <v>5.0999999999999996</v>
      </c>
      <c r="H31" s="1">
        <v>6</v>
      </c>
      <c r="I31" s="112">
        <v>0.15</v>
      </c>
      <c r="K31" s="111" t="s">
        <v>199</v>
      </c>
      <c r="L31" s="1">
        <v>5.0999999999999996</v>
      </c>
      <c r="M31" s="1">
        <v>6</v>
      </c>
      <c r="N31" s="112">
        <v>0.15</v>
      </c>
      <c r="P31" s="111" t="s">
        <v>199</v>
      </c>
      <c r="Q31" s="1">
        <v>5.0999999999999996</v>
      </c>
      <c r="R31" s="1">
        <v>6</v>
      </c>
      <c r="S31" s="112">
        <v>0.15</v>
      </c>
      <c r="U31" s="111" t="s">
        <v>199</v>
      </c>
      <c r="V31" s="1">
        <v>4.0999999999999996</v>
      </c>
      <c r="W31" s="1">
        <v>5</v>
      </c>
      <c r="X31" s="112">
        <v>0.2</v>
      </c>
      <c r="Z31" s="111" t="s">
        <v>199</v>
      </c>
      <c r="AA31" s="1">
        <v>4.0999999999999996</v>
      </c>
      <c r="AB31" s="1">
        <v>5</v>
      </c>
      <c r="AC31" s="112">
        <v>0.2</v>
      </c>
    </row>
    <row r="32" spans="1:29">
      <c r="A32" s="111" t="s">
        <v>199</v>
      </c>
      <c r="B32" s="1">
        <v>6.1</v>
      </c>
      <c r="C32" s="1">
        <v>99.9</v>
      </c>
      <c r="D32" s="112">
        <v>0.25</v>
      </c>
      <c r="F32" s="111" t="s">
        <v>199</v>
      </c>
      <c r="G32" s="1">
        <v>6.1</v>
      </c>
      <c r="H32" s="1">
        <v>99.9</v>
      </c>
      <c r="I32" s="112">
        <v>0.25</v>
      </c>
      <c r="K32" s="111" t="s">
        <v>199</v>
      </c>
      <c r="L32" s="1">
        <v>6.1</v>
      </c>
      <c r="M32" s="1">
        <v>99.9</v>
      </c>
      <c r="N32" s="112">
        <v>0.25</v>
      </c>
      <c r="P32" s="111" t="s">
        <v>199</v>
      </c>
      <c r="Q32" s="1">
        <v>6.1</v>
      </c>
      <c r="R32" s="1">
        <v>99.9</v>
      </c>
      <c r="S32" s="112">
        <v>0.25</v>
      </c>
      <c r="U32" s="111" t="s">
        <v>199</v>
      </c>
      <c r="V32" s="1">
        <v>5.0999999999999996</v>
      </c>
      <c r="W32" s="1">
        <v>99.9</v>
      </c>
      <c r="X32" s="112">
        <v>0.35</v>
      </c>
      <c r="Z32" s="111" t="s">
        <v>199</v>
      </c>
      <c r="AA32" s="1">
        <v>5.0999999999999996</v>
      </c>
      <c r="AB32" s="1">
        <v>99.9</v>
      </c>
      <c r="AC32" s="112">
        <v>0.35</v>
      </c>
    </row>
    <row r="33" spans="1:29">
      <c r="A33" s="111" t="s">
        <v>133</v>
      </c>
      <c r="B33" s="1">
        <v>1.1000000000000001</v>
      </c>
      <c r="C33" s="1">
        <v>2</v>
      </c>
      <c r="D33" s="112">
        <v>0.02</v>
      </c>
      <c r="F33" s="111" t="s">
        <v>133</v>
      </c>
      <c r="G33" s="1">
        <v>1.1000000000000001</v>
      </c>
      <c r="H33" s="1">
        <v>2</v>
      </c>
      <c r="I33" s="112">
        <v>0.02</v>
      </c>
      <c r="K33" s="111" t="s">
        <v>133</v>
      </c>
      <c r="L33" s="1">
        <v>1.1000000000000001</v>
      </c>
      <c r="M33" s="1">
        <v>2</v>
      </c>
      <c r="N33" s="112">
        <v>0.02</v>
      </c>
      <c r="P33" s="111" t="s">
        <v>133</v>
      </c>
      <c r="Q33" s="1">
        <v>1.1000000000000001</v>
      </c>
      <c r="R33" s="1">
        <v>2</v>
      </c>
      <c r="S33" s="112">
        <v>0.02</v>
      </c>
      <c r="U33" s="111" t="s">
        <v>133</v>
      </c>
      <c r="V33" s="1">
        <v>0.6</v>
      </c>
      <c r="W33" s="1">
        <v>1</v>
      </c>
      <c r="X33" s="112">
        <v>0.03</v>
      </c>
      <c r="Z33" s="111" t="s">
        <v>133</v>
      </c>
      <c r="AA33" s="1">
        <v>0.6</v>
      </c>
      <c r="AB33" s="1">
        <v>1</v>
      </c>
      <c r="AC33" s="112">
        <v>0.03</v>
      </c>
    </row>
    <row r="34" spans="1:29">
      <c r="A34" s="111" t="s">
        <v>133</v>
      </c>
      <c r="B34" s="1">
        <v>2.1</v>
      </c>
      <c r="C34" s="1">
        <v>3</v>
      </c>
      <c r="D34" s="112">
        <v>0.05</v>
      </c>
      <c r="F34" s="111" t="s">
        <v>133</v>
      </c>
      <c r="G34" s="1">
        <v>2.1</v>
      </c>
      <c r="H34" s="1">
        <v>3</v>
      </c>
      <c r="I34" s="112">
        <v>0.05</v>
      </c>
      <c r="K34" s="111" t="s">
        <v>133</v>
      </c>
      <c r="L34" s="1">
        <v>2.1</v>
      </c>
      <c r="M34" s="1">
        <v>3</v>
      </c>
      <c r="N34" s="112">
        <v>0.05</v>
      </c>
      <c r="P34" s="111" t="s">
        <v>133</v>
      </c>
      <c r="Q34" s="1">
        <v>2.1</v>
      </c>
      <c r="R34" s="1">
        <v>3</v>
      </c>
      <c r="S34" s="112">
        <v>0.05</v>
      </c>
      <c r="U34" s="111" t="s">
        <v>133</v>
      </c>
      <c r="V34" s="1">
        <v>1.1000000000000001</v>
      </c>
      <c r="W34" s="1">
        <v>2</v>
      </c>
      <c r="X34" s="112">
        <v>0.08</v>
      </c>
      <c r="Z34" s="111" t="s">
        <v>133</v>
      </c>
      <c r="AA34" s="1">
        <v>1.1000000000000001</v>
      </c>
      <c r="AB34" s="1">
        <v>2</v>
      </c>
      <c r="AC34" s="112">
        <v>0.08</v>
      </c>
    </row>
    <row r="35" spans="1:29">
      <c r="A35" s="113" t="s">
        <v>133</v>
      </c>
      <c r="B35" s="114">
        <v>3.1</v>
      </c>
      <c r="C35" s="114">
        <v>99.9</v>
      </c>
      <c r="D35" s="115">
        <v>0.1</v>
      </c>
      <c r="F35" s="113" t="s">
        <v>133</v>
      </c>
      <c r="G35" s="114">
        <v>3.1</v>
      </c>
      <c r="H35" s="114">
        <v>99.9</v>
      </c>
      <c r="I35" s="115">
        <v>0.1</v>
      </c>
      <c r="K35" s="113" t="s">
        <v>133</v>
      </c>
      <c r="L35" s="114">
        <v>3.1</v>
      </c>
      <c r="M35" s="114">
        <v>99.9</v>
      </c>
      <c r="N35" s="115">
        <v>0.1</v>
      </c>
      <c r="P35" s="113" t="s">
        <v>133</v>
      </c>
      <c r="Q35" s="114">
        <v>3.1</v>
      </c>
      <c r="R35" s="114">
        <v>99.9</v>
      </c>
      <c r="S35" s="115">
        <v>0.1</v>
      </c>
      <c r="U35" s="113" t="s">
        <v>133</v>
      </c>
      <c r="V35" s="114">
        <v>2.1</v>
      </c>
      <c r="W35" s="114">
        <v>99.9</v>
      </c>
      <c r="X35" s="115">
        <v>0.2</v>
      </c>
      <c r="Z35" s="113" t="s">
        <v>133</v>
      </c>
      <c r="AA35" s="114">
        <v>2.1</v>
      </c>
      <c r="AB35" s="114">
        <v>99.9</v>
      </c>
      <c r="AC35" s="115">
        <v>0.2</v>
      </c>
    </row>
    <row r="314" spans="189:194">
      <c r="GG314" t="s">
        <v>135</v>
      </c>
      <c r="GH314" t="s">
        <v>2</v>
      </c>
      <c r="GI314" t="s">
        <v>126</v>
      </c>
      <c r="GJ314" t="s">
        <v>127</v>
      </c>
      <c r="GK314" t="s">
        <v>128</v>
      </c>
      <c r="GL314" t="s">
        <v>197</v>
      </c>
    </row>
    <row r="315" spans="189:194">
      <c r="GG315" t="s">
        <v>143</v>
      </c>
      <c r="GH315" t="s">
        <v>15</v>
      </c>
      <c r="GI315" t="s">
        <v>198</v>
      </c>
      <c r="GJ315">
        <v>15.1</v>
      </c>
      <c r="GK315">
        <v>16</v>
      </c>
      <c r="GL315">
        <v>0.02</v>
      </c>
    </row>
    <row r="316" spans="189:194">
      <c r="GG316" t="s">
        <v>143</v>
      </c>
      <c r="GH316" t="s">
        <v>15</v>
      </c>
      <c r="GI316" t="s">
        <v>198</v>
      </c>
      <c r="GJ316">
        <v>16.100000000000001</v>
      </c>
      <c r="GK316">
        <v>17</v>
      </c>
      <c r="GL316">
        <v>0.05</v>
      </c>
    </row>
    <row r="317" spans="189:194">
      <c r="GG317" t="s">
        <v>143</v>
      </c>
      <c r="GH317" t="s">
        <v>15</v>
      </c>
      <c r="GI317" t="s">
        <v>198</v>
      </c>
      <c r="GJ317">
        <v>17.100000000000001</v>
      </c>
      <c r="GK317">
        <v>18</v>
      </c>
      <c r="GL317">
        <v>0.1</v>
      </c>
    </row>
    <row r="318" spans="189:194">
      <c r="GG318" t="s">
        <v>143</v>
      </c>
      <c r="GH318" t="s">
        <v>15</v>
      </c>
      <c r="GI318" t="s">
        <v>198</v>
      </c>
      <c r="GJ318">
        <v>18.100000000000001</v>
      </c>
      <c r="GK318">
        <v>99.9</v>
      </c>
      <c r="GL318">
        <v>0.25</v>
      </c>
    </row>
    <row r="319" spans="189:194">
      <c r="GG319" t="s">
        <v>143</v>
      </c>
      <c r="GH319" t="s">
        <v>15</v>
      </c>
      <c r="GI319" t="s">
        <v>199</v>
      </c>
      <c r="GJ319">
        <v>3.1</v>
      </c>
      <c r="GK319">
        <v>4</v>
      </c>
      <c r="GL319">
        <v>0.03</v>
      </c>
    </row>
    <row r="320" spans="189:194">
      <c r="GG320" t="s">
        <v>143</v>
      </c>
      <c r="GH320" t="s">
        <v>15</v>
      </c>
      <c r="GI320" t="s">
        <v>199</v>
      </c>
      <c r="GJ320">
        <v>4.0999999999999996</v>
      </c>
      <c r="GK320">
        <v>5</v>
      </c>
      <c r="GL320">
        <v>0.08</v>
      </c>
    </row>
    <row r="321" spans="189:194">
      <c r="GG321" t="s">
        <v>143</v>
      </c>
      <c r="GH321" t="s">
        <v>15</v>
      </c>
      <c r="GI321" t="s">
        <v>199</v>
      </c>
      <c r="GJ321">
        <v>5.0999999999999996</v>
      </c>
      <c r="GK321">
        <v>6</v>
      </c>
      <c r="GL321">
        <v>0.15</v>
      </c>
    </row>
    <row r="322" spans="189:194">
      <c r="GG322" t="s">
        <v>143</v>
      </c>
      <c r="GH322" t="s">
        <v>15</v>
      </c>
      <c r="GI322" t="s">
        <v>199</v>
      </c>
      <c r="GJ322">
        <v>6.1</v>
      </c>
      <c r="GK322">
        <v>99.9</v>
      </c>
      <c r="GL322">
        <v>0.25</v>
      </c>
    </row>
    <row r="323" spans="189:194">
      <c r="GG323" t="s">
        <v>143</v>
      </c>
      <c r="GH323" t="s">
        <v>15</v>
      </c>
      <c r="GI323" t="s">
        <v>133</v>
      </c>
      <c r="GJ323">
        <v>1.1000000000000001</v>
      </c>
      <c r="GK323">
        <v>2</v>
      </c>
      <c r="GL323">
        <v>0.02</v>
      </c>
    </row>
    <row r="324" spans="189:194">
      <c r="GG324" t="s">
        <v>143</v>
      </c>
      <c r="GH324" t="s">
        <v>15</v>
      </c>
      <c r="GI324" t="s">
        <v>133</v>
      </c>
      <c r="GJ324">
        <v>2.1</v>
      </c>
      <c r="GK324">
        <v>3</v>
      </c>
      <c r="GL324">
        <v>0.05</v>
      </c>
    </row>
    <row r="325" spans="189:194">
      <c r="GG325" t="s">
        <v>143</v>
      </c>
      <c r="GH325" t="s">
        <v>15</v>
      </c>
      <c r="GI325" t="s">
        <v>133</v>
      </c>
      <c r="GJ325">
        <v>3.1</v>
      </c>
      <c r="GK325">
        <v>99.9</v>
      </c>
      <c r="GL325">
        <v>0.1</v>
      </c>
    </row>
    <row r="326" spans="189:194">
      <c r="GG326" t="s">
        <v>146</v>
      </c>
      <c r="GH326" t="s">
        <v>15</v>
      </c>
      <c r="GI326" t="s">
        <v>198</v>
      </c>
      <c r="GJ326">
        <v>15.1</v>
      </c>
      <c r="GK326">
        <v>16</v>
      </c>
      <c r="GL326">
        <v>0.02</v>
      </c>
    </row>
    <row r="327" spans="189:194">
      <c r="GG327" t="s">
        <v>146</v>
      </c>
      <c r="GH327" t="s">
        <v>15</v>
      </c>
      <c r="GI327" t="s">
        <v>198</v>
      </c>
      <c r="GJ327">
        <v>16.100000000000001</v>
      </c>
      <c r="GK327">
        <v>17</v>
      </c>
      <c r="GL327">
        <v>0.05</v>
      </c>
    </row>
    <row r="328" spans="189:194">
      <c r="GG328" t="s">
        <v>146</v>
      </c>
      <c r="GH328" t="s">
        <v>15</v>
      </c>
      <c r="GI328" t="s">
        <v>198</v>
      </c>
      <c r="GJ328">
        <v>17.100000000000001</v>
      </c>
      <c r="GK328">
        <v>18</v>
      </c>
      <c r="GL328">
        <v>0.1</v>
      </c>
    </row>
    <row r="329" spans="189:194">
      <c r="GG329" t="s">
        <v>146</v>
      </c>
      <c r="GH329" t="s">
        <v>15</v>
      </c>
      <c r="GI329" t="s">
        <v>198</v>
      </c>
      <c r="GJ329">
        <v>18.100000000000001</v>
      </c>
      <c r="GK329">
        <v>99.9</v>
      </c>
      <c r="GL329">
        <v>0.25</v>
      </c>
    </row>
    <row r="330" spans="189:194">
      <c r="GG330" t="s">
        <v>146</v>
      </c>
      <c r="GH330" t="s">
        <v>15</v>
      </c>
      <c r="GI330" t="s">
        <v>199</v>
      </c>
      <c r="GJ330">
        <v>3.1</v>
      </c>
      <c r="GK330">
        <v>4</v>
      </c>
      <c r="GL330">
        <v>0.03</v>
      </c>
    </row>
    <row r="331" spans="189:194">
      <c r="GG331" t="s">
        <v>146</v>
      </c>
      <c r="GH331" t="s">
        <v>15</v>
      </c>
      <c r="GI331" t="s">
        <v>199</v>
      </c>
      <c r="GJ331">
        <v>4.0999999999999996</v>
      </c>
      <c r="GK331">
        <v>5</v>
      </c>
      <c r="GL331">
        <v>0.08</v>
      </c>
    </row>
    <row r="332" spans="189:194">
      <c r="GG332" t="s">
        <v>146</v>
      </c>
      <c r="GH332" t="s">
        <v>15</v>
      </c>
      <c r="GI332" t="s">
        <v>199</v>
      </c>
      <c r="GJ332">
        <v>5.0999999999999996</v>
      </c>
      <c r="GK332">
        <v>6</v>
      </c>
      <c r="GL332">
        <v>0.15</v>
      </c>
    </row>
    <row r="333" spans="189:194">
      <c r="GG333" t="s">
        <v>146</v>
      </c>
      <c r="GH333" t="s">
        <v>15</v>
      </c>
      <c r="GI333" t="s">
        <v>199</v>
      </c>
      <c r="GJ333">
        <v>6.1</v>
      </c>
      <c r="GK333">
        <v>99.9</v>
      </c>
      <c r="GL333">
        <v>0.25</v>
      </c>
    </row>
    <row r="334" spans="189:194">
      <c r="GG334" t="s">
        <v>146</v>
      </c>
      <c r="GH334" t="s">
        <v>15</v>
      </c>
      <c r="GI334" t="s">
        <v>133</v>
      </c>
      <c r="GJ334">
        <v>1.1000000000000001</v>
      </c>
      <c r="GK334">
        <v>2</v>
      </c>
      <c r="GL334">
        <v>0.02</v>
      </c>
    </row>
    <row r="335" spans="189:194">
      <c r="GG335" t="s">
        <v>146</v>
      </c>
      <c r="GH335" t="s">
        <v>15</v>
      </c>
      <c r="GI335" t="s">
        <v>133</v>
      </c>
      <c r="GJ335">
        <v>2.1</v>
      </c>
      <c r="GK335">
        <v>3</v>
      </c>
      <c r="GL335">
        <v>0.05</v>
      </c>
    </row>
    <row r="336" spans="189:194">
      <c r="GG336" t="s">
        <v>146</v>
      </c>
      <c r="GH336" t="s">
        <v>15</v>
      </c>
      <c r="GI336" t="s">
        <v>133</v>
      </c>
      <c r="GJ336">
        <v>3.1</v>
      </c>
      <c r="GK336">
        <v>99.9</v>
      </c>
      <c r="GL336">
        <v>0.1</v>
      </c>
    </row>
    <row r="337" spans="189:194">
      <c r="GG337" t="s">
        <v>149</v>
      </c>
      <c r="GH337" t="s">
        <v>15</v>
      </c>
      <c r="GI337" t="s">
        <v>198</v>
      </c>
      <c r="GJ337">
        <v>15.1</v>
      </c>
      <c r="GK337">
        <v>16</v>
      </c>
      <c r="GL337">
        <v>0.02</v>
      </c>
    </row>
    <row r="338" spans="189:194">
      <c r="GG338" t="s">
        <v>149</v>
      </c>
      <c r="GH338" t="s">
        <v>15</v>
      </c>
      <c r="GI338" t="s">
        <v>198</v>
      </c>
      <c r="GJ338">
        <v>16.100000000000001</v>
      </c>
      <c r="GK338">
        <v>17</v>
      </c>
      <c r="GL338">
        <v>0.05</v>
      </c>
    </row>
    <row r="339" spans="189:194">
      <c r="GG339" t="s">
        <v>149</v>
      </c>
      <c r="GH339" t="s">
        <v>15</v>
      </c>
      <c r="GI339" t="s">
        <v>198</v>
      </c>
      <c r="GJ339">
        <v>17.100000000000001</v>
      </c>
      <c r="GK339">
        <v>18</v>
      </c>
      <c r="GL339">
        <v>0.1</v>
      </c>
    </row>
    <row r="340" spans="189:194">
      <c r="GG340" t="s">
        <v>149</v>
      </c>
      <c r="GH340" t="s">
        <v>15</v>
      </c>
      <c r="GI340" t="s">
        <v>198</v>
      </c>
      <c r="GJ340">
        <v>18.100000000000001</v>
      </c>
      <c r="GK340">
        <v>99.9</v>
      </c>
      <c r="GL340">
        <v>0.25</v>
      </c>
    </row>
    <row r="341" spans="189:194">
      <c r="GG341" t="s">
        <v>149</v>
      </c>
      <c r="GH341" t="s">
        <v>15</v>
      </c>
      <c r="GI341" t="s">
        <v>199</v>
      </c>
      <c r="GJ341">
        <v>3.1</v>
      </c>
      <c r="GK341">
        <v>4</v>
      </c>
      <c r="GL341">
        <v>0.03</v>
      </c>
    </row>
    <row r="342" spans="189:194">
      <c r="GG342" t="s">
        <v>149</v>
      </c>
      <c r="GH342" t="s">
        <v>15</v>
      </c>
      <c r="GI342" t="s">
        <v>199</v>
      </c>
      <c r="GJ342">
        <v>4.0999999999999996</v>
      </c>
      <c r="GK342">
        <v>5</v>
      </c>
      <c r="GL342">
        <v>0.08</v>
      </c>
    </row>
    <row r="343" spans="189:194">
      <c r="GG343" t="s">
        <v>149</v>
      </c>
      <c r="GH343" t="s">
        <v>15</v>
      </c>
      <c r="GI343" t="s">
        <v>199</v>
      </c>
      <c r="GJ343">
        <v>5.0999999999999996</v>
      </c>
      <c r="GK343">
        <v>6</v>
      </c>
      <c r="GL343">
        <v>0.15</v>
      </c>
    </row>
    <row r="344" spans="189:194">
      <c r="GG344" t="s">
        <v>149</v>
      </c>
      <c r="GH344" t="s">
        <v>15</v>
      </c>
      <c r="GI344" t="s">
        <v>199</v>
      </c>
      <c r="GJ344">
        <v>6.1</v>
      </c>
      <c r="GK344">
        <v>99.9</v>
      </c>
      <c r="GL344">
        <v>0.25</v>
      </c>
    </row>
    <row r="345" spans="189:194">
      <c r="GG345" t="s">
        <v>149</v>
      </c>
      <c r="GH345" t="s">
        <v>15</v>
      </c>
      <c r="GI345" t="s">
        <v>133</v>
      </c>
      <c r="GJ345">
        <v>1.1000000000000001</v>
      </c>
      <c r="GK345">
        <v>2</v>
      </c>
      <c r="GL345">
        <v>0.02</v>
      </c>
    </row>
    <row r="346" spans="189:194">
      <c r="GG346" t="s">
        <v>149</v>
      </c>
      <c r="GH346" t="s">
        <v>15</v>
      </c>
      <c r="GI346" t="s">
        <v>133</v>
      </c>
      <c r="GJ346">
        <v>2.1</v>
      </c>
      <c r="GK346">
        <v>3</v>
      </c>
      <c r="GL346">
        <v>0.05</v>
      </c>
    </row>
    <row r="347" spans="189:194">
      <c r="GG347" t="s">
        <v>149</v>
      </c>
      <c r="GH347" t="s">
        <v>15</v>
      </c>
      <c r="GI347" t="s">
        <v>133</v>
      </c>
      <c r="GJ347">
        <v>3.1</v>
      </c>
      <c r="GK347">
        <v>99.9</v>
      </c>
      <c r="GL347">
        <v>0.1</v>
      </c>
    </row>
    <row r="348" spans="189:194">
      <c r="GG348" t="s">
        <v>155</v>
      </c>
      <c r="GH348" t="s">
        <v>15</v>
      </c>
      <c r="GI348" t="s">
        <v>198</v>
      </c>
      <c r="GJ348">
        <v>15.1</v>
      </c>
      <c r="GK348">
        <v>16</v>
      </c>
      <c r="GL348">
        <v>0.02</v>
      </c>
    </row>
    <row r="349" spans="189:194">
      <c r="GG349" t="s">
        <v>155</v>
      </c>
      <c r="GH349" t="s">
        <v>15</v>
      </c>
      <c r="GI349" t="s">
        <v>198</v>
      </c>
      <c r="GJ349">
        <v>16.100000000000001</v>
      </c>
      <c r="GK349">
        <v>17</v>
      </c>
      <c r="GL349">
        <v>0.05</v>
      </c>
    </row>
    <row r="350" spans="189:194">
      <c r="GG350" t="s">
        <v>155</v>
      </c>
      <c r="GH350" t="s">
        <v>15</v>
      </c>
      <c r="GI350" t="s">
        <v>198</v>
      </c>
      <c r="GJ350">
        <v>17.100000000000001</v>
      </c>
      <c r="GK350">
        <v>18</v>
      </c>
      <c r="GL350">
        <v>0.1</v>
      </c>
    </row>
    <row r="351" spans="189:194">
      <c r="GG351" t="s">
        <v>155</v>
      </c>
      <c r="GH351" t="s">
        <v>15</v>
      </c>
      <c r="GI351" t="s">
        <v>198</v>
      </c>
      <c r="GJ351">
        <v>18.100000000000001</v>
      </c>
      <c r="GK351">
        <v>99.9</v>
      </c>
      <c r="GL351">
        <v>0.25</v>
      </c>
    </row>
    <row r="352" spans="189:194">
      <c r="GG352" t="s">
        <v>155</v>
      </c>
      <c r="GH352" t="s">
        <v>15</v>
      </c>
      <c r="GI352" t="s">
        <v>199</v>
      </c>
      <c r="GJ352">
        <v>3.1</v>
      </c>
      <c r="GK352">
        <v>4</v>
      </c>
      <c r="GL352">
        <v>0.03</v>
      </c>
    </row>
    <row r="353" spans="189:194">
      <c r="GG353" t="s">
        <v>155</v>
      </c>
      <c r="GH353" t="s">
        <v>15</v>
      </c>
      <c r="GI353" t="s">
        <v>199</v>
      </c>
      <c r="GJ353">
        <v>4.0999999999999996</v>
      </c>
      <c r="GK353">
        <v>5</v>
      </c>
      <c r="GL353">
        <v>0.08</v>
      </c>
    </row>
    <row r="354" spans="189:194">
      <c r="GG354" t="s">
        <v>155</v>
      </c>
      <c r="GH354" t="s">
        <v>15</v>
      </c>
      <c r="GI354" t="s">
        <v>199</v>
      </c>
      <c r="GJ354">
        <v>5.0999999999999996</v>
      </c>
      <c r="GK354">
        <v>6</v>
      </c>
      <c r="GL354">
        <v>0.15</v>
      </c>
    </row>
    <row r="355" spans="189:194">
      <c r="GG355" t="s">
        <v>155</v>
      </c>
      <c r="GH355" t="s">
        <v>15</v>
      </c>
      <c r="GI355" t="s">
        <v>199</v>
      </c>
      <c r="GJ355">
        <v>6.1</v>
      </c>
      <c r="GK355">
        <v>99.9</v>
      </c>
      <c r="GL355">
        <v>0.25</v>
      </c>
    </row>
    <row r="356" spans="189:194">
      <c r="GG356" t="s">
        <v>155</v>
      </c>
      <c r="GH356" t="s">
        <v>15</v>
      </c>
      <c r="GI356" t="s">
        <v>133</v>
      </c>
      <c r="GJ356">
        <v>1.1000000000000001</v>
      </c>
      <c r="GK356">
        <v>2</v>
      </c>
      <c r="GL356">
        <v>0.02</v>
      </c>
    </row>
    <row r="357" spans="189:194">
      <c r="GG357" t="s">
        <v>155</v>
      </c>
      <c r="GH357" t="s">
        <v>15</v>
      </c>
      <c r="GI357" t="s">
        <v>133</v>
      </c>
      <c r="GJ357">
        <v>2.1</v>
      </c>
      <c r="GK357">
        <v>3</v>
      </c>
      <c r="GL357">
        <v>0.05</v>
      </c>
    </row>
    <row r="358" spans="189:194">
      <c r="GG358" t="s">
        <v>155</v>
      </c>
      <c r="GH358" t="s">
        <v>15</v>
      </c>
      <c r="GI358" t="s">
        <v>133</v>
      </c>
      <c r="GJ358">
        <v>3.1</v>
      </c>
      <c r="GK358">
        <v>99.9</v>
      </c>
      <c r="GL358">
        <v>0.1</v>
      </c>
    </row>
    <row r="359" spans="189:194">
      <c r="GG359" t="s">
        <v>158</v>
      </c>
      <c r="GH359" t="s">
        <v>15</v>
      </c>
      <c r="GI359" t="s">
        <v>198</v>
      </c>
      <c r="GJ359">
        <v>15.1</v>
      </c>
      <c r="GK359">
        <v>16</v>
      </c>
      <c r="GL359">
        <v>0.02</v>
      </c>
    </row>
    <row r="360" spans="189:194">
      <c r="GG360" t="s">
        <v>158</v>
      </c>
      <c r="GH360" t="s">
        <v>15</v>
      </c>
      <c r="GI360" t="s">
        <v>198</v>
      </c>
      <c r="GJ360">
        <v>16.100000000000001</v>
      </c>
      <c r="GK360">
        <v>17</v>
      </c>
      <c r="GL360">
        <v>0.05</v>
      </c>
    </row>
    <row r="361" spans="189:194">
      <c r="GG361" t="s">
        <v>158</v>
      </c>
      <c r="GH361" t="s">
        <v>15</v>
      </c>
      <c r="GI361" t="s">
        <v>198</v>
      </c>
      <c r="GJ361">
        <v>17.100000000000001</v>
      </c>
      <c r="GK361">
        <v>18</v>
      </c>
      <c r="GL361">
        <v>0.1</v>
      </c>
    </row>
    <row r="362" spans="189:194">
      <c r="GG362" t="s">
        <v>158</v>
      </c>
      <c r="GH362" t="s">
        <v>15</v>
      </c>
      <c r="GI362" t="s">
        <v>198</v>
      </c>
      <c r="GJ362">
        <v>18.100000000000001</v>
      </c>
      <c r="GK362">
        <v>99.9</v>
      </c>
      <c r="GL362">
        <v>0.25</v>
      </c>
    </row>
    <row r="363" spans="189:194">
      <c r="GG363" t="s">
        <v>158</v>
      </c>
      <c r="GH363" t="s">
        <v>15</v>
      </c>
      <c r="GI363" t="s">
        <v>199</v>
      </c>
      <c r="GJ363">
        <v>3.1</v>
      </c>
      <c r="GK363">
        <v>4</v>
      </c>
      <c r="GL363">
        <v>0.03</v>
      </c>
    </row>
    <row r="364" spans="189:194">
      <c r="GG364" t="s">
        <v>158</v>
      </c>
      <c r="GH364" t="s">
        <v>15</v>
      </c>
      <c r="GI364" t="s">
        <v>199</v>
      </c>
      <c r="GJ364">
        <v>4.0999999999999996</v>
      </c>
      <c r="GK364">
        <v>5</v>
      </c>
      <c r="GL364">
        <v>0.08</v>
      </c>
    </row>
    <row r="365" spans="189:194">
      <c r="GG365" t="s">
        <v>158</v>
      </c>
      <c r="GH365" t="s">
        <v>15</v>
      </c>
      <c r="GI365" t="s">
        <v>199</v>
      </c>
      <c r="GJ365">
        <v>5.0999999999999996</v>
      </c>
      <c r="GK365">
        <v>6</v>
      </c>
      <c r="GL365">
        <v>0.15</v>
      </c>
    </row>
    <row r="366" spans="189:194">
      <c r="GG366" t="s">
        <v>158</v>
      </c>
      <c r="GH366" t="s">
        <v>15</v>
      </c>
      <c r="GI366" t="s">
        <v>199</v>
      </c>
      <c r="GJ366">
        <v>6.1</v>
      </c>
      <c r="GK366">
        <v>99.9</v>
      </c>
      <c r="GL366">
        <v>0.25</v>
      </c>
    </row>
    <row r="367" spans="189:194">
      <c r="GG367" t="s">
        <v>158</v>
      </c>
      <c r="GH367" t="s">
        <v>15</v>
      </c>
      <c r="GI367" t="s">
        <v>133</v>
      </c>
      <c r="GJ367">
        <v>1.1000000000000001</v>
      </c>
      <c r="GK367">
        <v>2</v>
      </c>
      <c r="GL367">
        <v>0.02</v>
      </c>
    </row>
    <row r="368" spans="189:194">
      <c r="GG368" t="s">
        <v>158</v>
      </c>
      <c r="GH368" t="s">
        <v>15</v>
      </c>
      <c r="GI368" t="s">
        <v>133</v>
      </c>
      <c r="GJ368">
        <v>2.1</v>
      </c>
      <c r="GK368">
        <v>3</v>
      </c>
      <c r="GL368">
        <v>0.05</v>
      </c>
    </row>
    <row r="369" spans="189:194">
      <c r="GG369" t="s">
        <v>158</v>
      </c>
      <c r="GH369" t="s">
        <v>15</v>
      </c>
      <c r="GI369" t="s">
        <v>133</v>
      </c>
      <c r="GJ369">
        <v>3.1</v>
      </c>
      <c r="GK369">
        <v>99.9</v>
      </c>
      <c r="GL369">
        <v>0.1</v>
      </c>
    </row>
    <row r="370" spans="189:194">
      <c r="GG370" t="s">
        <v>152</v>
      </c>
      <c r="GH370" t="s">
        <v>15</v>
      </c>
      <c r="GI370" t="s">
        <v>198</v>
      </c>
      <c r="GJ370">
        <v>14.6</v>
      </c>
      <c r="GK370">
        <v>15</v>
      </c>
      <c r="GL370">
        <v>0.03</v>
      </c>
    </row>
    <row r="371" spans="189:194">
      <c r="GG371" t="s">
        <v>152</v>
      </c>
      <c r="GH371" t="s">
        <v>15</v>
      </c>
      <c r="GI371" t="s">
        <v>198</v>
      </c>
      <c r="GJ371">
        <v>15.1</v>
      </c>
      <c r="GK371">
        <v>16</v>
      </c>
      <c r="GL371">
        <v>0.08</v>
      </c>
    </row>
    <row r="372" spans="189:194">
      <c r="GG372" t="s">
        <v>152</v>
      </c>
      <c r="GH372" t="s">
        <v>15</v>
      </c>
      <c r="GI372" t="s">
        <v>198</v>
      </c>
      <c r="GJ372">
        <v>16.100000000000001</v>
      </c>
      <c r="GK372">
        <v>17</v>
      </c>
      <c r="GL372">
        <v>0.15</v>
      </c>
    </row>
    <row r="373" spans="189:194">
      <c r="GG373" t="s">
        <v>152</v>
      </c>
      <c r="GH373" t="s">
        <v>15</v>
      </c>
      <c r="GI373" t="s">
        <v>198</v>
      </c>
      <c r="GJ373">
        <v>17.100000000000001</v>
      </c>
      <c r="GK373">
        <v>99.9</v>
      </c>
      <c r="GL373">
        <v>0.3</v>
      </c>
    </row>
    <row r="374" spans="189:194">
      <c r="GG374" t="s">
        <v>152</v>
      </c>
      <c r="GH374" t="s">
        <v>15</v>
      </c>
      <c r="GI374" t="s">
        <v>199</v>
      </c>
      <c r="GJ374">
        <v>2.1</v>
      </c>
      <c r="GK374">
        <v>3</v>
      </c>
      <c r="GL374">
        <v>0.05</v>
      </c>
    </row>
    <row r="375" spans="189:194">
      <c r="GG375" t="s">
        <v>152</v>
      </c>
      <c r="GH375" t="s">
        <v>15</v>
      </c>
      <c r="GI375" t="s">
        <v>199</v>
      </c>
      <c r="GJ375">
        <v>3.1</v>
      </c>
      <c r="GK375">
        <v>4</v>
      </c>
      <c r="GL375">
        <v>0.12</v>
      </c>
    </row>
    <row r="376" spans="189:194">
      <c r="GG376" t="s">
        <v>152</v>
      </c>
      <c r="GH376" t="s">
        <v>15</v>
      </c>
      <c r="GI376" t="s">
        <v>199</v>
      </c>
      <c r="GJ376">
        <v>4.0999999999999996</v>
      </c>
      <c r="GK376">
        <v>5</v>
      </c>
      <c r="GL376">
        <v>0.2</v>
      </c>
    </row>
    <row r="377" spans="189:194">
      <c r="GG377" t="s">
        <v>152</v>
      </c>
      <c r="GH377" t="s">
        <v>15</v>
      </c>
      <c r="GI377" t="s">
        <v>199</v>
      </c>
      <c r="GJ377">
        <v>5.0999999999999996</v>
      </c>
      <c r="GK377">
        <v>99.9</v>
      </c>
      <c r="GL377">
        <v>0.35</v>
      </c>
    </row>
    <row r="378" spans="189:194">
      <c r="GG378" t="s">
        <v>152</v>
      </c>
      <c r="GH378" t="s">
        <v>15</v>
      </c>
      <c r="GI378" t="s">
        <v>133</v>
      </c>
      <c r="GJ378">
        <v>0.6</v>
      </c>
      <c r="GK378">
        <v>1</v>
      </c>
      <c r="GL378">
        <v>0.03</v>
      </c>
    </row>
    <row r="379" spans="189:194">
      <c r="GG379" t="s">
        <v>152</v>
      </c>
      <c r="GH379" t="s">
        <v>15</v>
      </c>
      <c r="GI379" t="s">
        <v>133</v>
      </c>
      <c r="GJ379">
        <v>1.1000000000000001</v>
      </c>
      <c r="GK379">
        <v>2</v>
      </c>
      <c r="GL379">
        <v>0.08</v>
      </c>
    </row>
    <row r="380" spans="189:194">
      <c r="GG380" t="s">
        <v>152</v>
      </c>
      <c r="GH380" t="s">
        <v>15</v>
      </c>
      <c r="GI380" t="s">
        <v>133</v>
      </c>
      <c r="GJ380">
        <v>2.1</v>
      </c>
      <c r="GK380">
        <v>99.9</v>
      </c>
      <c r="GL380">
        <v>0.2</v>
      </c>
    </row>
    <row r="381" spans="189:194">
      <c r="GG381" t="s">
        <v>163</v>
      </c>
      <c r="GH381" t="s">
        <v>43</v>
      </c>
      <c r="GI381" t="s">
        <v>198</v>
      </c>
      <c r="GJ381">
        <v>13.1</v>
      </c>
      <c r="GK381">
        <v>14</v>
      </c>
      <c r="GL381">
        <v>0.02</v>
      </c>
    </row>
    <row r="382" spans="189:194">
      <c r="GG382" t="s">
        <v>163</v>
      </c>
      <c r="GH382" t="s">
        <v>43</v>
      </c>
      <c r="GI382" t="s">
        <v>198</v>
      </c>
      <c r="GJ382">
        <v>14.1</v>
      </c>
      <c r="GK382">
        <v>15</v>
      </c>
      <c r="GL382">
        <v>0.05</v>
      </c>
    </row>
    <row r="383" spans="189:194">
      <c r="GG383" t="s">
        <v>163</v>
      </c>
      <c r="GH383" t="s">
        <v>43</v>
      </c>
      <c r="GI383" t="s">
        <v>198</v>
      </c>
      <c r="GJ383">
        <v>15.1</v>
      </c>
      <c r="GK383">
        <v>16</v>
      </c>
      <c r="GL383">
        <v>0.1</v>
      </c>
    </row>
    <row r="384" spans="189:194">
      <c r="GG384" t="s">
        <v>163</v>
      </c>
      <c r="GH384" t="s">
        <v>43</v>
      </c>
      <c r="GI384" t="s">
        <v>198</v>
      </c>
      <c r="GJ384">
        <v>16.100000000000001</v>
      </c>
      <c r="GK384">
        <v>99.9</v>
      </c>
      <c r="GL384">
        <v>0.25</v>
      </c>
    </row>
    <row r="385" spans="189:194">
      <c r="GG385" t="s">
        <v>163</v>
      </c>
      <c r="GH385" t="s">
        <v>43</v>
      </c>
      <c r="GI385" t="s">
        <v>199</v>
      </c>
      <c r="GJ385">
        <v>3.1</v>
      </c>
      <c r="GK385">
        <v>4</v>
      </c>
      <c r="GL385">
        <v>0.03</v>
      </c>
    </row>
    <row r="386" spans="189:194">
      <c r="GG386" t="s">
        <v>163</v>
      </c>
      <c r="GH386" t="s">
        <v>43</v>
      </c>
      <c r="GI386" t="s">
        <v>199</v>
      </c>
      <c r="GJ386">
        <v>4.0999999999999996</v>
      </c>
      <c r="GK386">
        <v>5</v>
      </c>
      <c r="GL386">
        <v>0.08</v>
      </c>
    </row>
    <row r="387" spans="189:194">
      <c r="GG387" t="s">
        <v>163</v>
      </c>
      <c r="GH387" t="s">
        <v>43</v>
      </c>
      <c r="GI387" t="s">
        <v>199</v>
      </c>
      <c r="GJ387">
        <v>5.0999999999999996</v>
      </c>
      <c r="GK387">
        <v>6</v>
      </c>
      <c r="GL387">
        <v>0.15</v>
      </c>
    </row>
    <row r="388" spans="189:194">
      <c r="GG388" t="s">
        <v>163</v>
      </c>
      <c r="GH388" t="s">
        <v>43</v>
      </c>
      <c r="GI388" t="s">
        <v>199</v>
      </c>
      <c r="GJ388">
        <v>6.1</v>
      </c>
      <c r="GK388">
        <v>99.9</v>
      </c>
      <c r="GL388">
        <v>0.25</v>
      </c>
    </row>
    <row r="389" spans="189:194">
      <c r="GG389" t="s">
        <v>163</v>
      </c>
      <c r="GH389" t="s">
        <v>43</v>
      </c>
      <c r="GI389" t="s">
        <v>133</v>
      </c>
      <c r="GJ389">
        <v>1.1000000000000001</v>
      </c>
      <c r="GK389">
        <v>2</v>
      </c>
      <c r="GL389">
        <v>0.02</v>
      </c>
    </row>
    <row r="390" spans="189:194">
      <c r="GG390" t="s">
        <v>163</v>
      </c>
      <c r="GH390" t="s">
        <v>43</v>
      </c>
      <c r="GI390" t="s">
        <v>133</v>
      </c>
      <c r="GJ390">
        <v>2.1</v>
      </c>
      <c r="GK390">
        <v>3</v>
      </c>
      <c r="GL390">
        <v>0.05</v>
      </c>
    </row>
    <row r="391" spans="189:194">
      <c r="GG391" t="s">
        <v>163</v>
      </c>
      <c r="GH391" t="s">
        <v>43</v>
      </c>
      <c r="GI391" t="s">
        <v>133</v>
      </c>
      <c r="GJ391">
        <v>3.1</v>
      </c>
      <c r="GK391">
        <v>99.9</v>
      </c>
      <c r="GL391">
        <v>0.1</v>
      </c>
    </row>
    <row r="392" spans="189:194">
      <c r="GG392" t="s">
        <v>169</v>
      </c>
      <c r="GH392" t="s">
        <v>43</v>
      </c>
      <c r="GI392" t="s">
        <v>198</v>
      </c>
      <c r="GJ392">
        <v>13.1</v>
      </c>
      <c r="GK392">
        <v>14</v>
      </c>
      <c r="GL392">
        <v>0.02</v>
      </c>
    </row>
    <row r="393" spans="189:194">
      <c r="GG393" t="s">
        <v>169</v>
      </c>
      <c r="GH393" t="s">
        <v>43</v>
      </c>
      <c r="GI393" t="s">
        <v>198</v>
      </c>
      <c r="GJ393">
        <v>14.1</v>
      </c>
      <c r="GK393">
        <v>15</v>
      </c>
      <c r="GL393">
        <v>0.05</v>
      </c>
    </row>
    <row r="394" spans="189:194">
      <c r="GG394" t="s">
        <v>169</v>
      </c>
      <c r="GH394" t="s">
        <v>43</v>
      </c>
      <c r="GI394" t="s">
        <v>198</v>
      </c>
      <c r="GJ394">
        <v>15.1</v>
      </c>
      <c r="GK394">
        <v>16</v>
      </c>
      <c r="GL394">
        <v>0.1</v>
      </c>
    </row>
    <row r="395" spans="189:194">
      <c r="GG395" t="s">
        <v>169</v>
      </c>
      <c r="GH395" t="s">
        <v>43</v>
      </c>
      <c r="GI395" t="s">
        <v>198</v>
      </c>
      <c r="GJ395">
        <v>16.100000000000001</v>
      </c>
      <c r="GK395">
        <v>99.9</v>
      </c>
      <c r="GL395">
        <v>0.25</v>
      </c>
    </row>
    <row r="396" spans="189:194">
      <c r="GG396" t="s">
        <v>169</v>
      </c>
      <c r="GH396" t="s">
        <v>43</v>
      </c>
      <c r="GI396" t="s">
        <v>199</v>
      </c>
      <c r="GJ396">
        <v>3.1</v>
      </c>
      <c r="GK396">
        <v>4</v>
      </c>
      <c r="GL396">
        <v>0.03</v>
      </c>
    </row>
    <row r="397" spans="189:194">
      <c r="GG397" t="s">
        <v>169</v>
      </c>
      <c r="GH397" t="s">
        <v>43</v>
      </c>
      <c r="GI397" t="s">
        <v>199</v>
      </c>
      <c r="GJ397">
        <v>4.0999999999999996</v>
      </c>
      <c r="GK397">
        <v>5</v>
      </c>
      <c r="GL397">
        <v>0.08</v>
      </c>
    </row>
    <row r="398" spans="189:194">
      <c r="GG398" t="s">
        <v>169</v>
      </c>
      <c r="GH398" t="s">
        <v>43</v>
      </c>
      <c r="GI398" t="s">
        <v>199</v>
      </c>
      <c r="GJ398">
        <v>5.0999999999999996</v>
      </c>
      <c r="GK398">
        <v>6</v>
      </c>
      <c r="GL398">
        <v>0.15</v>
      </c>
    </row>
    <row r="399" spans="189:194">
      <c r="GG399" t="s">
        <v>169</v>
      </c>
      <c r="GH399" t="s">
        <v>43</v>
      </c>
      <c r="GI399" t="s">
        <v>199</v>
      </c>
      <c r="GJ399">
        <v>6.1</v>
      </c>
      <c r="GK399">
        <v>99.9</v>
      </c>
      <c r="GL399">
        <v>0.25</v>
      </c>
    </row>
    <row r="400" spans="189:194">
      <c r="GG400" t="s">
        <v>169</v>
      </c>
      <c r="GH400" t="s">
        <v>43</v>
      </c>
      <c r="GI400" t="s">
        <v>133</v>
      </c>
      <c r="GJ400">
        <v>1.1000000000000001</v>
      </c>
      <c r="GK400">
        <v>2</v>
      </c>
      <c r="GL400">
        <v>0.02</v>
      </c>
    </row>
    <row r="401" spans="189:194">
      <c r="GG401" t="s">
        <v>169</v>
      </c>
      <c r="GH401" t="s">
        <v>43</v>
      </c>
      <c r="GI401" t="s">
        <v>133</v>
      </c>
      <c r="GJ401">
        <v>2.1</v>
      </c>
      <c r="GK401">
        <v>3</v>
      </c>
      <c r="GL401">
        <v>0.05</v>
      </c>
    </row>
    <row r="402" spans="189:194">
      <c r="GG402" t="s">
        <v>169</v>
      </c>
      <c r="GH402" t="s">
        <v>43</v>
      </c>
      <c r="GI402" t="s">
        <v>133</v>
      </c>
      <c r="GJ402">
        <v>3.1</v>
      </c>
      <c r="GK402">
        <v>99.9</v>
      </c>
      <c r="GL402">
        <v>0.1</v>
      </c>
    </row>
    <row r="404" spans="189:194">
      <c r="GG404" t="s">
        <v>171</v>
      </c>
      <c r="GH404" t="s">
        <v>43</v>
      </c>
      <c r="GI404" t="s">
        <v>198</v>
      </c>
      <c r="GJ404">
        <v>13.1</v>
      </c>
      <c r="GK404">
        <v>14</v>
      </c>
      <c r="GL404">
        <v>0.02</v>
      </c>
    </row>
    <row r="405" spans="189:194">
      <c r="GG405" t="s">
        <v>171</v>
      </c>
      <c r="GH405" t="s">
        <v>43</v>
      </c>
      <c r="GI405" t="s">
        <v>198</v>
      </c>
      <c r="GJ405">
        <v>14.1</v>
      </c>
      <c r="GK405">
        <v>15</v>
      </c>
      <c r="GL405">
        <v>0.05</v>
      </c>
    </row>
    <row r="406" spans="189:194">
      <c r="GG406" t="s">
        <v>171</v>
      </c>
      <c r="GH406" t="s">
        <v>43</v>
      </c>
      <c r="GI406" t="s">
        <v>198</v>
      </c>
      <c r="GJ406">
        <v>15.1</v>
      </c>
      <c r="GK406">
        <v>16</v>
      </c>
      <c r="GL406">
        <v>0.1</v>
      </c>
    </row>
    <row r="407" spans="189:194">
      <c r="GG407" t="s">
        <v>171</v>
      </c>
      <c r="GH407" t="s">
        <v>43</v>
      </c>
      <c r="GI407" t="s">
        <v>198</v>
      </c>
      <c r="GJ407">
        <v>16.100000000000001</v>
      </c>
      <c r="GK407">
        <v>99.9</v>
      </c>
      <c r="GL407">
        <v>0.25</v>
      </c>
    </row>
    <row r="408" spans="189:194">
      <c r="GG408" t="s">
        <v>171</v>
      </c>
      <c r="GH408" t="s">
        <v>43</v>
      </c>
      <c r="GI408" t="s">
        <v>199</v>
      </c>
      <c r="GJ408">
        <v>3.1</v>
      </c>
      <c r="GK408">
        <v>4</v>
      </c>
      <c r="GL408">
        <v>0.03</v>
      </c>
    </row>
    <row r="409" spans="189:194">
      <c r="GG409" t="s">
        <v>171</v>
      </c>
      <c r="GH409" t="s">
        <v>43</v>
      </c>
      <c r="GI409" t="s">
        <v>199</v>
      </c>
      <c r="GJ409">
        <v>4.0999999999999996</v>
      </c>
      <c r="GK409">
        <v>5</v>
      </c>
      <c r="GL409">
        <v>0.08</v>
      </c>
    </row>
    <row r="410" spans="189:194">
      <c r="GG410" t="s">
        <v>171</v>
      </c>
      <c r="GH410" t="s">
        <v>43</v>
      </c>
      <c r="GI410" t="s">
        <v>199</v>
      </c>
      <c r="GJ410">
        <v>5.0999999999999996</v>
      </c>
      <c r="GK410">
        <v>6</v>
      </c>
      <c r="GL410">
        <v>0.15</v>
      </c>
    </row>
    <row r="411" spans="189:194">
      <c r="GG411" t="s">
        <v>171</v>
      </c>
      <c r="GH411" t="s">
        <v>43</v>
      </c>
      <c r="GI411" t="s">
        <v>199</v>
      </c>
      <c r="GJ411">
        <v>6.1</v>
      </c>
      <c r="GK411">
        <v>99.9</v>
      </c>
      <c r="GL411">
        <v>0.25</v>
      </c>
    </row>
    <row r="412" spans="189:194">
      <c r="GG412" t="s">
        <v>171</v>
      </c>
      <c r="GH412" t="s">
        <v>43</v>
      </c>
      <c r="GI412" t="s">
        <v>133</v>
      </c>
      <c r="GJ412">
        <v>1.1000000000000001</v>
      </c>
      <c r="GK412">
        <v>2</v>
      </c>
      <c r="GL412">
        <v>0.02</v>
      </c>
    </row>
    <row r="413" spans="189:194">
      <c r="GG413" t="s">
        <v>171</v>
      </c>
      <c r="GH413" t="s">
        <v>43</v>
      </c>
      <c r="GI413" t="s">
        <v>133</v>
      </c>
      <c r="GJ413">
        <v>2.1</v>
      </c>
      <c r="GK413">
        <v>3</v>
      </c>
      <c r="GL413">
        <v>0.05</v>
      </c>
    </row>
    <row r="414" spans="189:194">
      <c r="GG414" t="s">
        <v>171</v>
      </c>
      <c r="GH414" t="s">
        <v>43</v>
      </c>
      <c r="GI414" t="s">
        <v>133</v>
      </c>
      <c r="GJ414">
        <v>3.1</v>
      </c>
      <c r="GK414">
        <v>99.9</v>
      </c>
      <c r="GL414">
        <v>0.1</v>
      </c>
    </row>
    <row r="416" spans="189:194">
      <c r="GG416" t="s">
        <v>167</v>
      </c>
      <c r="GH416" t="s">
        <v>43</v>
      </c>
      <c r="GI416" t="s">
        <v>198</v>
      </c>
      <c r="GJ416">
        <v>13.1</v>
      </c>
      <c r="GK416">
        <v>14</v>
      </c>
      <c r="GL416">
        <v>0.02</v>
      </c>
    </row>
    <row r="417" spans="189:194">
      <c r="GG417" t="s">
        <v>167</v>
      </c>
      <c r="GH417" t="s">
        <v>43</v>
      </c>
      <c r="GI417" t="s">
        <v>198</v>
      </c>
      <c r="GJ417">
        <v>14.1</v>
      </c>
      <c r="GK417">
        <v>15</v>
      </c>
      <c r="GL417">
        <v>0.05</v>
      </c>
    </row>
    <row r="418" spans="189:194">
      <c r="GG418" t="s">
        <v>167</v>
      </c>
      <c r="GH418" t="s">
        <v>43</v>
      </c>
      <c r="GI418" t="s">
        <v>198</v>
      </c>
      <c r="GJ418">
        <v>15.1</v>
      </c>
      <c r="GK418">
        <v>16</v>
      </c>
      <c r="GL418">
        <v>0.1</v>
      </c>
    </row>
    <row r="419" spans="189:194">
      <c r="GG419" t="s">
        <v>167</v>
      </c>
      <c r="GH419" t="s">
        <v>43</v>
      </c>
      <c r="GI419" t="s">
        <v>198</v>
      </c>
      <c r="GJ419">
        <v>16.100000000000001</v>
      </c>
      <c r="GK419">
        <v>99.9</v>
      </c>
      <c r="GL419">
        <v>0.25</v>
      </c>
    </row>
    <row r="420" spans="189:194">
      <c r="GG420" t="s">
        <v>167</v>
      </c>
      <c r="GH420" t="s">
        <v>43</v>
      </c>
      <c r="GI420" t="s">
        <v>199</v>
      </c>
      <c r="GJ420">
        <v>3.1</v>
      </c>
      <c r="GK420">
        <v>4</v>
      </c>
      <c r="GL420">
        <v>0.03</v>
      </c>
    </row>
    <row r="421" spans="189:194">
      <c r="GG421" t="s">
        <v>167</v>
      </c>
      <c r="GH421" t="s">
        <v>43</v>
      </c>
      <c r="GI421" t="s">
        <v>199</v>
      </c>
      <c r="GJ421">
        <v>4.0999999999999996</v>
      </c>
      <c r="GK421">
        <v>5</v>
      </c>
      <c r="GL421">
        <v>0.08</v>
      </c>
    </row>
    <row r="422" spans="189:194">
      <c r="GG422" t="s">
        <v>167</v>
      </c>
      <c r="GH422" t="s">
        <v>43</v>
      </c>
      <c r="GI422" t="s">
        <v>199</v>
      </c>
      <c r="GJ422">
        <v>5.0999999999999996</v>
      </c>
      <c r="GK422">
        <v>6</v>
      </c>
      <c r="GL422">
        <v>0.15</v>
      </c>
    </row>
    <row r="423" spans="189:194">
      <c r="GG423" t="s">
        <v>167</v>
      </c>
      <c r="GH423" t="s">
        <v>43</v>
      </c>
      <c r="GI423" t="s">
        <v>199</v>
      </c>
      <c r="GJ423">
        <v>6.1</v>
      </c>
      <c r="GK423">
        <v>99.9</v>
      </c>
      <c r="GL423">
        <v>0.25</v>
      </c>
    </row>
    <row r="424" spans="189:194">
      <c r="GG424" t="s">
        <v>167</v>
      </c>
      <c r="GH424" t="s">
        <v>43</v>
      </c>
      <c r="GI424" t="s">
        <v>133</v>
      </c>
      <c r="GJ424">
        <v>1.1000000000000001</v>
      </c>
      <c r="GK424">
        <v>2</v>
      </c>
      <c r="GL424">
        <v>0.02</v>
      </c>
    </row>
    <row r="425" spans="189:194">
      <c r="GG425" t="s">
        <v>167</v>
      </c>
      <c r="GH425" t="s">
        <v>43</v>
      </c>
      <c r="GI425" t="s">
        <v>133</v>
      </c>
      <c r="GJ425">
        <v>2.1</v>
      </c>
      <c r="GK425">
        <v>3</v>
      </c>
      <c r="GL425">
        <v>0.05</v>
      </c>
    </row>
    <row r="426" spans="189:194">
      <c r="GG426" t="s">
        <v>167</v>
      </c>
      <c r="GH426" t="s">
        <v>43</v>
      </c>
      <c r="GI426" t="s">
        <v>133</v>
      </c>
      <c r="GJ426">
        <v>3.1</v>
      </c>
      <c r="GK426">
        <v>99.9</v>
      </c>
      <c r="GL426">
        <v>0.1</v>
      </c>
    </row>
    <row r="428" spans="189:194">
      <c r="GG428" t="s">
        <v>165</v>
      </c>
      <c r="GH428" t="s">
        <v>43</v>
      </c>
      <c r="GI428" t="s">
        <v>198</v>
      </c>
      <c r="GJ428">
        <v>12.6</v>
      </c>
      <c r="GK428">
        <v>13</v>
      </c>
      <c r="GL428">
        <v>0.03</v>
      </c>
    </row>
    <row r="429" spans="189:194">
      <c r="GG429" t="s">
        <v>165</v>
      </c>
      <c r="GH429" t="s">
        <v>43</v>
      </c>
      <c r="GI429" t="s">
        <v>198</v>
      </c>
      <c r="GJ429">
        <v>13.1</v>
      </c>
      <c r="GK429">
        <v>14</v>
      </c>
      <c r="GL429">
        <v>0.08</v>
      </c>
    </row>
    <row r="430" spans="189:194">
      <c r="GG430" t="s">
        <v>165</v>
      </c>
      <c r="GH430" t="s">
        <v>43</v>
      </c>
      <c r="GI430" t="s">
        <v>198</v>
      </c>
      <c r="GJ430">
        <v>14.1</v>
      </c>
      <c r="GK430">
        <v>15</v>
      </c>
      <c r="GL430">
        <v>0.15</v>
      </c>
    </row>
    <row r="431" spans="189:194">
      <c r="GG431" t="s">
        <v>165</v>
      </c>
      <c r="GH431" t="s">
        <v>43</v>
      </c>
      <c r="GI431" t="s">
        <v>198</v>
      </c>
      <c r="GJ431">
        <v>15.1</v>
      </c>
      <c r="GK431">
        <v>99.9</v>
      </c>
      <c r="GL431">
        <v>0.3</v>
      </c>
    </row>
    <row r="432" spans="189:194">
      <c r="GG432" t="s">
        <v>165</v>
      </c>
      <c r="GH432" t="s">
        <v>43</v>
      </c>
      <c r="GI432" t="s">
        <v>199</v>
      </c>
      <c r="GJ432">
        <v>2.1</v>
      </c>
      <c r="GK432">
        <v>3</v>
      </c>
      <c r="GL432">
        <v>0.05</v>
      </c>
    </row>
    <row r="433" spans="189:194">
      <c r="GG433" t="s">
        <v>165</v>
      </c>
      <c r="GH433" t="s">
        <v>43</v>
      </c>
      <c r="GI433" t="s">
        <v>199</v>
      </c>
      <c r="GJ433">
        <v>3.1</v>
      </c>
      <c r="GK433">
        <v>4</v>
      </c>
      <c r="GL433">
        <v>0.12</v>
      </c>
    </row>
    <row r="434" spans="189:194">
      <c r="GG434" t="s">
        <v>165</v>
      </c>
      <c r="GH434" t="s">
        <v>43</v>
      </c>
      <c r="GI434" t="s">
        <v>199</v>
      </c>
      <c r="GJ434">
        <v>4.0999999999999996</v>
      </c>
      <c r="GK434">
        <v>5</v>
      </c>
      <c r="GL434">
        <v>0.2</v>
      </c>
    </row>
    <row r="435" spans="189:194">
      <c r="GG435" t="s">
        <v>165</v>
      </c>
      <c r="GH435" t="s">
        <v>43</v>
      </c>
      <c r="GI435" t="s">
        <v>199</v>
      </c>
      <c r="GJ435">
        <v>5.0999999999999996</v>
      </c>
      <c r="GK435">
        <v>99.9</v>
      </c>
      <c r="GL435">
        <v>0.35</v>
      </c>
    </row>
    <row r="436" spans="189:194">
      <c r="GG436" t="s">
        <v>165</v>
      </c>
      <c r="GH436" t="s">
        <v>43</v>
      </c>
      <c r="GI436" t="s">
        <v>133</v>
      </c>
      <c r="GJ436">
        <v>0.6</v>
      </c>
      <c r="GK436">
        <v>1</v>
      </c>
      <c r="GL436">
        <v>0.03</v>
      </c>
    </row>
    <row r="437" spans="189:194">
      <c r="GG437" t="s">
        <v>165</v>
      </c>
      <c r="GH437" t="s">
        <v>43</v>
      </c>
      <c r="GI437" t="s">
        <v>133</v>
      </c>
      <c r="GJ437">
        <v>1.1000000000000001</v>
      </c>
      <c r="GK437">
        <v>2</v>
      </c>
      <c r="GL437">
        <v>0.08</v>
      </c>
    </row>
    <row r="438" spans="189:194">
      <c r="GG438" t="s">
        <v>165</v>
      </c>
      <c r="GH438" t="s">
        <v>43</v>
      </c>
      <c r="GI438" t="s">
        <v>133</v>
      </c>
      <c r="GJ438">
        <v>2.1</v>
      </c>
      <c r="GK438">
        <v>99.9</v>
      </c>
      <c r="GL438">
        <v>0.2</v>
      </c>
    </row>
    <row r="440" spans="189:194">
      <c r="GG440" t="s">
        <v>173</v>
      </c>
      <c r="GH440" t="s">
        <v>43</v>
      </c>
      <c r="GI440" t="s">
        <v>198</v>
      </c>
      <c r="GJ440">
        <v>12.6</v>
      </c>
      <c r="GK440">
        <v>13</v>
      </c>
      <c r="GL440">
        <v>0.03</v>
      </c>
    </row>
    <row r="441" spans="189:194">
      <c r="GG441" t="s">
        <v>173</v>
      </c>
      <c r="GH441" t="s">
        <v>43</v>
      </c>
      <c r="GI441" t="s">
        <v>198</v>
      </c>
      <c r="GJ441">
        <v>13.1</v>
      </c>
      <c r="GK441">
        <v>14</v>
      </c>
      <c r="GL441">
        <v>0.08</v>
      </c>
    </row>
    <row r="442" spans="189:194">
      <c r="GG442" t="s">
        <v>173</v>
      </c>
      <c r="GH442" t="s">
        <v>43</v>
      </c>
      <c r="GI442" t="s">
        <v>198</v>
      </c>
      <c r="GJ442">
        <v>14.1</v>
      </c>
      <c r="GK442">
        <v>15</v>
      </c>
      <c r="GL442">
        <v>0.15</v>
      </c>
    </row>
    <row r="443" spans="189:194">
      <c r="GG443" t="s">
        <v>173</v>
      </c>
      <c r="GH443" t="s">
        <v>43</v>
      </c>
      <c r="GI443" t="s">
        <v>198</v>
      </c>
      <c r="GJ443">
        <v>15.1</v>
      </c>
      <c r="GK443">
        <v>99.9</v>
      </c>
      <c r="GL443">
        <v>0.3</v>
      </c>
    </row>
    <row r="444" spans="189:194">
      <c r="GG444" t="s">
        <v>173</v>
      </c>
      <c r="GH444" t="s">
        <v>43</v>
      </c>
      <c r="GI444" t="s">
        <v>199</v>
      </c>
      <c r="GJ444">
        <v>2.1</v>
      </c>
      <c r="GK444">
        <v>3</v>
      </c>
      <c r="GL444">
        <v>0.05</v>
      </c>
    </row>
    <row r="445" spans="189:194">
      <c r="GG445" t="s">
        <v>173</v>
      </c>
      <c r="GH445" t="s">
        <v>43</v>
      </c>
      <c r="GI445" t="s">
        <v>199</v>
      </c>
      <c r="GJ445">
        <v>3.1</v>
      </c>
      <c r="GK445">
        <v>4</v>
      </c>
      <c r="GL445">
        <v>0.12</v>
      </c>
    </row>
    <row r="446" spans="189:194">
      <c r="GG446" t="s">
        <v>173</v>
      </c>
      <c r="GH446" t="s">
        <v>43</v>
      </c>
      <c r="GI446" t="s">
        <v>199</v>
      </c>
      <c r="GJ446">
        <v>4.0999999999999996</v>
      </c>
      <c r="GK446">
        <v>5</v>
      </c>
      <c r="GL446">
        <v>0.2</v>
      </c>
    </row>
    <row r="447" spans="189:194">
      <c r="GG447" t="s">
        <v>173</v>
      </c>
      <c r="GH447" t="s">
        <v>43</v>
      </c>
      <c r="GI447" t="s">
        <v>199</v>
      </c>
      <c r="GJ447">
        <v>5.0999999999999996</v>
      </c>
      <c r="GK447">
        <v>99.9</v>
      </c>
      <c r="GL447">
        <v>0.35</v>
      </c>
    </row>
    <row r="448" spans="189:194">
      <c r="GG448" t="s">
        <v>173</v>
      </c>
      <c r="GH448" t="s">
        <v>43</v>
      </c>
      <c r="GI448" t="s">
        <v>133</v>
      </c>
      <c r="GJ448">
        <v>0.6</v>
      </c>
      <c r="GK448">
        <v>1</v>
      </c>
      <c r="GL448">
        <v>0.03</v>
      </c>
    </row>
    <row r="449" spans="189:194">
      <c r="GG449" t="s">
        <v>173</v>
      </c>
      <c r="GH449" t="s">
        <v>43</v>
      </c>
      <c r="GI449" t="s">
        <v>133</v>
      </c>
      <c r="GJ449">
        <v>1.1000000000000001</v>
      </c>
      <c r="GK449">
        <v>2</v>
      </c>
      <c r="GL449">
        <v>0.08</v>
      </c>
    </row>
    <row r="450" spans="189:194">
      <c r="GG450" t="s">
        <v>173</v>
      </c>
      <c r="GH450" t="s">
        <v>43</v>
      </c>
      <c r="GI450" t="s">
        <v>133</v>
      </c>
      <c r="GJ450">
        <v>2.1</v>
      </c>
      <c r="GK450">
        <v>99.9</v>
      </c>
      <c r="GL450">
        <v>0.2</v>
      </c>
    </row>
  </sheetData>
  <mergeCells count="15">
    <mergeCell ref="K5:S5"/>
    <mergeCell ref="K7:N7"/>
    <mergeCell ref="A7:D7"/>
    <mergeCell ref="A1:AC3"/>
    <mergeCell ref="A23:D23"/>
    <mergeCell ref="F7:I7"/>
    <mergeCell ref="P7:S7"/>
    <mergeCell ref="U7:X7"/>
    <mergeCell ref="Z7:AC7"/>
    <mergeCell ref="F23:I23"/>
    <mergeCell ref="P23:S23"/>
    <mergeCell ref="U23:X23"/>
    <mergeCell ref="Z23:AC23"/>
    <mergeCell ref="K21:S21"/>
    <mergeCell ref="K23:N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E260-E58E-4E13-975B-1428101C0424}">
  <sheetPr>
    <tabColor rgb="FFFFFF00"/>
  </sheetPr>
  <dimension ref="C3:N24"/>
  <sheetViews>
    <sheetView showGridLines="0" workbookViewId="0">
      <selection activeCell="K16" sqref="K16:L16"/>
    </sheetView>
  </sheetViews>
  <sheetFormatPr defaultRowHeight="15"/>
  <cols>
    <col min="3" max="3" width="23.28515625" bestFit="1" customWidth="1"/>
    <col min="4" max="4" width="17.7109375" customWidth="1"/>
    <col min="5" max="5" width="10.85546875" bestFit="1" customWidth="1"/>
    <col min="6" max="7" width="10.85546875" customWidth="1"/>
    <col min="8" max="8" width="4.7109375" customWidth="1"/>
    <col min="9" max="9" width="21.42578125" customWidth="1"/>
    <col min="10" max="10" width="13" bestFit="1" customWidth="1"/>
    <col min="11" max="12" width="15.140625" bestFit="1" customWidth="1"/>
    <col min="13" max="13" width="13" bestFit="1" customWidth="1"/>
    <col min="14" max="14" width="14.5703125" customWidth="1"/>
    <col min="15" max="15" width="11.7109375" customWidth="1"/>
  </cols>
  <sheetData>
    <row r="3" spans="3:14">
      <c r="C3" s="262" t="s">
        <v>201</v>
      </c>
      <c r="D3" s="263"/>
      <c r="E3" s="263"/>
      <c r="F3" s="263"/>
      <c r="G3" s="264"/>
      <c r="I3" s="262" t="s">
        <v>202</v>
      </c>
      <c r="J3" s="263"/>
      <c r="K3" s="263"/>
      <c r="L3" s="264"/>
    </row>
    <row r="4" spans="3:14">
      <c r="C4" s="265"/>
      <c r="D4" s="266"/>
      <c r="E4" s="266"/>
      <c r="F4" s="266"/>
      <c r="G4" s="267"/>
      <c r="I4" s="265"/>
      <c r="J4" s="266"/>
      <c r="K4" s="266"/>
      <c r="L4" s="267"/>
    </row>
    <row r="5" spans="3:14" ht="18.75" customHeight="1">
      <c r="C5" s="152" t="s">
        <v>2</v>
      </c>
      <c r="D5" s="153" t="s">
        <v>175</v>
      </c>
      <c r="E5" s="153" t="s">
        <v>203</v>
      </c>
      <c r="F5" s="153" t="s">
        <v>10</v>
      </c>
      <c r="G5" s="154" t="s">
        <v>204</v>
      </c>
      <c r="I5" s="144" t="s">
        <v>5</v>
      </c>
      <c r="J5" s="131" t="s">
        <v>205</v>
      </c>
      <c r="K5" s="130" t="s">
        <v>206</v>
      </c>
      <c r="L5" s="145" t="s">
        <v>207</v>
      </c>
    </row>
    <row r="6" spans="3:14" ht="15.75" customHeight="1">
      <c r="C6" s="139" t="s">
        <v>15</v>
      </c>
      <c r="D6" s="135" t="s">
        <v>208</v>
      </c>
      <c r="E6" s="136">
        <f>SUMIFS('Sale Contracts'!$L:$L,'Sale Contracts'!$C:$C,$C6,'Sale Contracts'!$D:$D,$D6&amp;", TX")</f>
        <v>19000</v>
      </c>
      <c r="F6" s="136">
        <f>SUMIFS('Sale Contracts'!$M:$M,'Sale Contracts'!$C:$C,$C6,'Sale Contracts'!$D:$D,$D6&amp;", TX")</f>
        <v>2600.7142857142858</v>
      </c>
      <c r="G6" s="140">
        <f>SUMIFS('Sale Contracts'!$N:$N,'Sale Contracts'!$C:$C,$C6,'Sale Contracts'!$D:$D,$D6&amp;", TX")</f>
        <v>16399.285714285714</v>
      </c>
      <c r="I6" s="146" t="s">
        <v>18</v>
      </c>
      <c r="J6" s="133">
        <f>SUMIFS('Purchase Contracts'!$L:$L,'Purchase Contracts'!$F:$F,I6)</f>
        <v>24091</v>
      </c>
      <c r="K6" s="134">
        <v>20000</v>
      </c>
      <c r="L6" s="147">
        <f>J6-K6</f>
        <v>4091</v>
      </c>
      <c r="N6" s="16"/>
    </row>
    <row r="7" spans="3:14" ht="14.25" customHeight="1">
      <c r="C7" s="139" t="s">
        <v>15</v>
      </c>
      <c r="D7" s="135" t="s">
        <v>209</v>
      </c>
      <c r="E7" s="136">
        <f>SUMIFS('Sale Contracts'!$L:$L,'Sale Contracts'!$C:$C,$C7,'Sale Contracts'!$D:$D,$D7&amp;", TX")</f>
        <v>9000</v>
      </c>
      <c r="F7" s="136">
        <f>SUMIFS('Sale Contracts'!$M:$M,'Sale Contracts'!$C:$C,$C7,'Sale Contracts'!$D:$D,$D7&amp;", TX")</f>
        <v>878.57142857142856</v>
      </c>
      <c r="G7" s="140">
        <f>SUMIFS('Sale Contracts'!$N:$N,'Sale Contracts'!$C:$C,$C7,'Sale Contracts'!$D:$D,$D7&amp;", TX")</f>
        <v>8121.4285714285716</v>
      </c>
      <c r="I7" s="146" t="s">
        <v>27</v>
      </c>
      <c r="J7" s="133">
        <f>SUMIFS('Purchase Contracts'!$L:$L,'Purchase Contracts'!$F:$F,I7)</f>
        <v>34168</v>
      </c>
      <c r="K7" s="132">
        <v>30000</v>
      </c>
      <c r="L7" s="147">
        <f t="shared" ref="L7:L12" si="0">J7-K7</f>
        <v>4168</v>
      </c>
    </row>
    <row r="8" spans="3:14" ht="15" customHeight="1">
      <c r="C8" s="139" t="s">
        <v>15</v>
      </c>
      <c r="D8" s="135" t="s">
        <v>210</v>
      </c>
      <c r="E8" s="136">
        <f>SUMIFS('Sale Contracts'!$L:$L,'Sale Contracts'!$C:$C,$C8,'Sale Contracts'!$D:$D,$D8&amp;", TX")</f>
        <v>12000</v>
      </c>
      <c r="F8" s="136">
        <f>SUMIFS('Sale Contracts'!$M:$M,'Sale Contracts'!$C:$C,$C8,'Sale Contracts'!$D:$D,$D8&amp;", TX")</f>
        <v>867.5</v>
      </c>
      <c r="G8" s="140">
        <f>SUMIFS('Sale Contracts'!$N:$N,'Sale Contracts'!$C:$C,$C8,'Sale Contracts'!$D:$D,$D8&amp;", TX")</f>
        <v>11132.5</v>
      </c>
      <c r="I8" s="146" t="s">
        <v>34</v>
      </c>
      <c r="J8" s="133">
        <f>SUMIFS('Purchase Contracts'!$L:$L,'Purchase Contracts'!$F:$F,I8)</f>
        <v>12000</v>
      </c>
      <c r="K8" s="132">
        <v>10000</v>
      </c>
      <c r="L8" s="147">
        <f t="shared" si="0"/>
        <v>2000</v>
      </c>
    </row>
    <row r="9" spans="3:14" ht="14.25" customHeight="1">
      <c r="C9" s="139" t="s">
        <v>15</v>
      </c>
      <c r="D9" s="135" t="s">
        <v>211</v>
      </c>
      <c r="E9" s="136">
        <f>SUMIFS('Sale Contracts'!$L:$L,'Sale Contracts'!$C:$C,$C9,'Sale Contracts'!$D:$D,$D9&amp;", TX")</f>
        <v>10000</v>
      </c>
      <c r="F9" s="136">
        <f>SUMIFS('Sale Contracts'!$M:$M,'Sale Contracts'!$C:$C,$C9,'Sale Contracts'!$D:$D,$D9&amp;", TX")</f>
        <v>875.71428571428567</v>
      </c>
      <c r="G9" s="140">
        <f>SUMIFS('Sale Contracts'!$N:$N,'Sale Contracts'!$C:$C,$C9,'Sale Contracts'!$D:$D,$D9&amp;", TX")</f>
        <v>9124.2857142857138</v>
      </c>
      <c r="I9" s="146" t="s">
        <v>38</v>
      </c>
      <c r="J9" s="133">
        <f>SUMIFS('Purchase Contracts'!$L:$L,'Purchase Contracts'!$F:$F,I9)</f>
        <v>40409</v>
      </c>
      <c r="K9" s="132">
        <v>35000</v>
      </c>
      <c r="L9" s="147">
        <f t="shared" si="0"/>
        <v>5409</v>
      </c>
    </row>
    <row r="10" spans="3:14" ht="14.25" customHeight="1">
      <c r="C10" s="139" t="s">
        <v>15</v>
      </c>
      <c r="D10" s="135" t="s">
        <v>212</v>
      </c>
      <c r="E10" s="136">
        <f>SUMIFS('Sale Contracts'!$L:$L,'Sale Contracts'!$C:$C,$C10,'Sale Contracts'!$D:$D,$D10&amp;", TX")</f>
        <v>0</v>
      </c>
      <c r="F10" s="136">
        <f>SUMIFS('Sale Contracts'!$M:$M,'Sale Contracts'!$C:$C,$C10,'Sale Contracts'!$D:$D,$D10&amp;", TX")</f>
        <v>0</v>
      </c>
      <c r="G10" s="140">
        <f>SUMIFS('Sale Contracts'!$N:$N,'Sale Contracts'!$C:$C,$C10,'Sale Contracts'!$D:$D,$D10&amp;", TX")</f>
        <v>0</v>
      </c>
      <c r="I10" s="146" t="s">
        <v>45</v>
      </c>
      <c r="J10" s="133">
        <f>SUMIFS('Purchase Contracts'!$L:$L,'Purchase Contracts'!$F:$F,I10)</f>
        <v>4000</v>
      </c>
      <c r="K10" s="132">
        <v>4000</v>
      </c>
      <c r="L10" s="147">
        <f t="shared" si="0"/>
        <v>0</v>
      </c>
    </row>
    <row r="11" spans="3:14" ht="13.5" customHeight="1">
      <c r="C11" s="139" t="s">
        <v>43</v>
      </c>
      <c r="D11" s="135" t="s">
        <v>209</v>
      </c>
      <c r="E11" s="136">
        <f>SUMIFS('Sale Contracts'!$L:$L,'Sale Contracts'!$C:$C,$C11,'Sale Contracts'!$D:$D,$D11&amp;", TX")</f>
        <v>6000</v>
      </c>
      <c r="F11" s="136">
        <f>SUMIFS('Sale Contracts'!$M:$M,'Sale Contracts'!$C:$C,$C11,'Sale Contracts'!$D:$D,$D11&amp;", TX")</f>
        <v>816.66666666666663</v>
      </c>
      <c r="G11" s="140">
        <f>SUMIFS('Sale Contracts'!$N:$N,'Sale Contracts'!$C:$C,$C11,'Sale Contracts'!$D:$D,$D11&amp;", TX")</f>
        <v>5183.333333333333</v>
      </c>
      <c r="I11" s="146" t="s">
        <v>48</v>
      </c>
      <c r="J11" s="133">
        <f>SUMIFS('Purchase Contracts'!$L:$L,'Purchase Contracts'!$F:$F,I11)</f>
        <v>1670</v>
      </c>
      <c r="K11" s="132">
        <v>0</v>
      </c>
      <c r="L11" s="147">
        <f t="shared" si="0"/>
        <v>1670</v>
      </c>
    </row>
    <row r="12" spans="3:14" ht="16.5" customHeight="1">
      <c r="C12" s="139" t="s">
        <v>43</v>
      </c>
      <c r="D12" s="135" t="s">
        <v>213</v>
      </c>
      <c r="E12" s="136">
        <f>SUMIFS('Sale Contracts'!$L:$L,'Sale Contracts'!$C:$C,$C12,'Sale Contracts'!$D:$D,$D12&amp;", TX")</f>
        <v>22000</v>
      </c>
      <c r="F12" s="136">
        <f>SUMIFS('Sale Contracts'!$M:$M,'Sale Contracts'!$C:$C,$C12,'Sale Contracts'!$D:$D,$D12&amp;", TX")</f>
        <v>830</v>
      </c>
      <c r="G12" s="140">
        <f>SUMIFS('Sale Contracts'!$N:$N,'Sale Contracts'!$C:$C,$C12,'Sale Contracts'!$D:$D,$D12&amp;", TX")</f>
        <v>21170</v>
      </c>
      <c r="I12" s="148" t="s">
        <v>51</v>
      </c>
      <c r="J12" s="149">
        <f>SUMIFS('Purchase Contracts'!$L:$L,'Purchase Contracts'!$F:$F,I12)</f>
        <v>32784</v>
      </c>
      <c r="K12" s="150">
        <v>40000</v>
      </c>
      <c r="L12" s="151">
        <f t="shared" si="0"/>
        <v>-7216</v>
      </c>
    </row>
    <row r="13" spans="3:14">
      <c r="C13" s="139" t="s">
        <v>43</v>
      </c>
      <c r="D13" s="135" t="s">
        <v>211</v>
      </c>
      <c r="E13" s="136">
        <f>SUMIFS('Sale Contracts'!$L:$L,'Sale Contracts'!$C:$C,$C13,'Sale Contracts'!$D:$D,$D13&amp;", TX")</f>
        <v>7000</v>
      </c>
      <c r="F13" s="136">
        <f>SUMIFS('Sale Contracts'!$M:$M,'Sale Contracts'!$C:$C,$C13,'Sale Contracts'!$D:$D,$D13&amp;", TX")</f>
        <v>823.33333333333337</v>
      </c>
      <c r="G13" s="140">
        <f>SUMIFS('Sale Contracts'!$N:$N,'Sale Contracts'!$C:$C,$C13,'Sale Contracts'!$D:$D,$D13&amp;", TX")</f>
        <v>6176.666666666667</v>
      </c>
    </row>
    <row r="14" spans="3:14">
      <c r="C14" s="139" t="s">
        <v>43</v>
      </c>
      <c r="D14" s="135" t="s">
        <v>212</v>
      </c>
      <c r="E14" s="136">
        <f>SUMIFS('Sale Contracts'!$L:$L,'Sale Contracts'!$C:$C,$C14,'Sale Contracts'!$D:$D,$D14&amp;", TX")</f>
        <v>0</v>
      </c>
      <c r="F14" s="136">
        <f>SUMIFS('Sale Contracts'!$M:$M,'Sale Contracts'!$C:$C,$C14,'Sale Contracts'!$D:$D,$D14&amp;", TX")</f>
        <v>0</v>
      </c>
      <c r="G14" s="140">
        <f>SUMIFS('Sale Contracts'!$N:$N,'Sale Contracts'!$C:$C,$C14,'Sale Contracts'!$D:$D,$D14&amp;", TX")</f>
        <v>0</v>
      </c>
      <c r="I14" s="262" t="s">
        <v>214</v>
      </c>
      <c r="J14" s="263"/>
      <c r="K14" s="263"/>
      <c r="L14" s="264"/>
    </row>
    <row r="15" spans="3:14">
      <c r="C15" s="141" t="s">
        <v>43</v>
      </c>
      <c r="D15" s="142" t="s">
        <v>208</v>
      </c>
      <c r="E15" s="155">
        <f>SUMIFS('Sale Contracts'!$L:$L,'Sale Contracts'!$C:$C,$C15,'Sale Contracts'!$D:$D,$D15&amp;", TX")</f>
        <v>8000</v>
      </c>
      <c r="F15" s="155">
        <f>SUMIFS('Sale Contracts'!$M:$M,'Sale Contracts'!$C:$C,$C15,'Sale Contracts'!$D:$D,$D15&amp;", TX")</f>
        <v>0</v>
      </c>
      <c r="G15" s="143">
        <f>SUMIFS('Sale Contracts'!$N:$N,'Sale Contracts'!$C:$C,$C15,'Sale Contracts'!$D:$D,$D15&amp;", TX")</f>
        <v>8000</v>
      </c>
      <c r="I15" s="268"/>
      <c r="J15" s="269"/>
      <c r="K15" s="269"/>
      <c r="L15" s="270"/>
    </row>
    <row r="16" spans="3:14">
      <c r="E16" s="137"/>
      <c r="F16" s="137"/>
      <c r="G16" s="137"/>
      <c r="I16" s="253" t="s">
        <v>215</v>
      </c>
      <c r="J16" s="254"/>
      <c r="K16" s="257">
        <f>SUM(G6:G15)</f>
        <v>85307.500000000015</v>
      </c>
      <c r="L16" s="258"/>
    </row>
    <row r="17" spans="3:12">
      <c r="C17" s="262" t="s">
        <v>216</v>
      </c>
      <c r="D17" s="263"/>
      <c r="E17" s="263"/>
      <c r="F17" s="263"/>
      <c r="G17" s="264"/>
      <c r="I17" s="253" t="s">
        <v>217</v>
      </c>
      <c r="J17" s="254"/>
      <c r="K17" s="259" t="str">
        <f>INDEX(D6:D15,MATCH(MAX(G6:G15),G6:G15,0))</f>
        <v>Galveston</v>
      </c>
      <c r="L17" s="258"/>
    </row>
    <row r="18" spans="3:12">
      <c r="C18" s="247" t="str">
        <f>IF(MAX(G6:G15)&gt;20000,"HIGH DESTINATION EXPOSURE","NORMAL")</f>
        <v>HIGH DESTINATION EXPOSURE</v>
      </c>
      <c r="D18" s="248"/>
      <c r="E18" s="248"/>
      <c r="F18" s="248"/>
      <c r="G18" s="249"/>
      <c r="I18" s="253" t="s">
        <v>218</v>
      </c>
      <c r="J18" s="254"/>
      <c r="K18" s="257">
        <f>SUMIFS(G6:G15,C6:C15,"Corn")</f>
        <v>44777.5</v>
      </c>
      <c r="L18" s="258"/>
    </row>
    <row r="19" spans="3:12">
      <c r="C19" s="250"/>
      <c r="D19" s="251"/>
      <c r="E19" s="251"/>
      <c r="F19" s="251"/>
      <c r="G19" s="252"/>
      <c r="I19" s="255" t="s">
        <v>219</v>
      </c>
      <c r="J19" s="256"/>
      <c r="K19" s="260">
        <f>SUMIFS(G6:G15,C6:C15,"Soybeans")</f>
        <v>40530</v>
      </c>
      <c r="L19" s="261"/>
    </row>
    <row r="20" spans="3:12">
      <c r="G20" s="137"/>
    </row>
    <row r="21" spans="3:12">
      <c r="G21" s="137"/>
    </row>
    <row r="22" spans="3:12">
      <c r="G22" s="137"/>
    </row>
    <row r="23" spans="3:12">
      <c r="G23" s="137"/>
    </row>
    <row r="24" spans="3:12">
      <c r="G24" s="137"/>
    </row>
  </sheetData>
  <mergeCells count="13">
    <mergeCell ref="C3:G4"/>
    <mergeCell ref="I3:L4"/>
    <mergeCell ref="I14:L15"/>
    <mergeCell ref="I16:J16"/>
    <mergeCell ref="I17:J17"/>
    <mergeCell ref="C17:G17"/>
    <mergeCell ref="C18:G19"/>
    <mergeCell ref="I18:J18"/>
    <mergeCell ref="I19:J19"/>
    <mergeCell ref="K16:L16"/>
    <mergeCell ref="K17:L17"/>
    <mergeCell ref="K18:L18"/>
    <mergeCell ref="K19:L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A24C-9177-4196-8474-ADAB1E857557}">
  <sheetPr>
    <tabColor rgb="FF92D050"/>
  </sheetPr>
  <dimension ref="A1:Q27"/>
  <sheetViews>
    <sheetView showGridLines="0" workbookViewId="0">
      <selection activeCell="L28" sqref="L28"/>
    </sheetView>
  </sheetViews>
  <sheetFormatPr defaultRowHeight="15"/>
  <cols>
    <col min="1" max="1" width="20.140625" bestFit="1" customWidth="1"/>
    <col min="2" max="2" width="13.28515625" bestFit="1" customWidth="1"/>
    <col min="9" max="9" width="12.7109375" bestFit="1" customWidth="1"/>
    <col min="10" max="10" width="22.5703125" customWidth="1"/>
    <col min="11" max="11" width="12.140625" customWidth="1"/>
    <col min="12" max="12" width="15.140625" customWidth="1"/>
    <col min="16" max="16" width="14.28515625" customWidth="1"/>
  </cols>
  <sheetData>
    <row r="1" spans="1:17" ht="27.75" customHeight="1">
      <c r="A1" s="156" t="s">
        <v>175</v>
      </c>
      <c r="B1" s="156" t="s">
        <v>220</v>
      </c>
      <c r="G1" s="271" t="s">
        <v>221</v>
      </c>
      <c r="H1" s="272"/>
      <c r="I1" s="272"/>
      <c r="J1" s="272"/>
      <c r="K1" s="272"/>
      <c r="L1" s="272"/>
      <c r="M1" s="272"/>
    </row>
    <row r="2" spans="1:17">
      <c r="A2" s="156" t="s">
        <v>82</v>
      </c>
      <c r="B2" s="156">
        <v>53553</v>
      </c>
      <c r="F2" s="157" t="s">
        <v>5</v>
      </c>
      <c r="G2" s="272"/>
      <c r="H2" s="272"/>
      <c r="I2" s="272"/>
      <c r="J2" s="272"/>
      <c r="K2" s="272"/>
      <c r="L2" s="272"/>
      <c r="M2" s="272"/>
      <c r="N2" s="157"/>
      <c r="O2" s="156"/>
      <c r="P2" s="156"/>
      <c r="Q2" s="156"/>
    </row>
    <row r="3" spans="1:17">
      <c r="A3" s="156" t="s">
        <v>208</v>
      </c>
      <c r="B3" s="156">
        <v>15151</v>
      </c>
      <c r="F3" s="157"/>
      <c r="G3" s="157"/>
      <c r="H3" s="157"/>
      <c r="I3" s="157"/>
      <c r="J3" s="157"/>
      <c r="K3" s="157"/>
      <c r="L3" s="157"/>
      <c r="M3" s="157"/>
      <c r="N3" s="157"/>
      <c r="O3" s="156"/>
      <c r="P3" s="156"/>
      <c r="Q3" s="156"/>
    </row>
    <row r="4" spans="1:17">
      <c r="A4" s="156" t="s">
        <v>209</v>
      </c>
      <c r="B4" s="156">
        <v>13292</v>
      </c>
      <c r="F4" s="157"/>
      <c r="G4" s="157"/>
      <c r="H4" s="157"/>
      <c r="I4" s="157"/>
      <c r="J4" s="157"/>
      <c r="K4" s="157"/>
      <c r="L4" s="157"/>
      <c r="M4" s="157"/>
      <c r="N4" s="157"/>
      <c r="O4" s="159" t="s">
        <v>205</v>
      </c>
      <c r="P4" s="158" t="s">
        <v>206</v>
      </c>
      <c r="Q4" s="157"/>
    </row>
    <row r="5" spans="1:17" ht="18.75">
      <c r="A5" s="156" t="s">
        <v>210</v>
      </c>
      <c r="B5" s="156">
        <v>9168</v>
      </c>
      <c r="J5" s="166" t="s">
        <v>222</v>
      </c>
      <c r="M5" s="157"/>
      <c r="N5" s="157" t="s">
        <v>18</v>
      </c>
      <c r="O5" s="157">
        <f>SUMIFS('Purchase Contracts'!$L:$L,'Purchase Contracts'!$F:$F,N5)</f>
        <v>24091</v>
      </c>
      <c r="P5" s="160">
        <v>20000</v>
      </c>
      <c r="Q5" s="157"/>
    </row>
    <row r="6" spans="1:17" ht="18.75">
      <c r="A6" s="156" t="s">
        <v>211</v>
      </c>
      <c r="B6" s="156">
        <v>20702</v>
      </c>
      <c r="J6" s="168">
        <f>SUM('Purchase Contracts'!$L:$L)</f>
        <v>149122</v>
      </c>
      <c r="M6" s="157"/>
      <c r="N6" s="157" t="s">
        <v>27</v>
      </c>
      <c r="O6" s="157">
        <f>SUMIFS('Purchase Contracts'!$L:$L,'Purchase Contracts'!$F:$F,N6)</f>
        <v>34168</v>
      </c>
      <c r="P6" s="157">
        <v>30000</v>
      </c>
      <c r="Q6" s="157"/>
    </row>
    <row r="7" spans="1:17" ht="18.75">
      <c r="A7" s="156" t="s">
        <v>212</v>
      </c>
      <c r="B7" s="156">
        <v>32256</v>
      </c>
      <c r="J7" s="161"/>
      <c r="M7" s="157"/>
      <c r="N7" s="157" t="s">
        <v>34</v>
      </c>
      <c r="O7" s="157">
        <f>SUMIFS('Purchase Contracts'!$L:$L,'Purchase Contracts'!$F:$F,N7)</f>
        <v>12000</v>
      </c>
      <c r="P7" s="157">
        <v>10000</v>
      </c>
      <c r="Q7" s="157"/>
    </row>
    <row r="8" spans="1:17" ht="18.75">
      <c r="A8" s="156" t="s">
        <v>213</v>
      </c>
      <c r="B8" s="156">
        <v>5000</v>
      </c>
      <c r="J8" s="162"/>
      <c r="M8" s="157"/>
      <c r="N8" s="157" t="s">
        <v>38</v>
      </c>
      <c r="O8" s="157">
        <f>SUMIFS('Purchase Contracts'!$L:$L,'Purchase Contracts'!$F:$F,N8)</f>
        <v>40409</v>
      </c>
      <c r="P8" s="157">
        <v>35000</v>
      </c>
      <c r="Q8" s="157"/>
    </row>
    <row r="9" spans="1:17">
      <c r="A9" s="156"/>
      <c r="B9" s="156"/>
      <c r="M9" s="157"/>
      <c r="N9" s="157" t="s">
        <v>45</v>
      </c>
      <c r="O9" s="157">
        <f>SUMIFS('Purchase Contracts'!$L:$L,'Purchase Contracts'!$F:$F,N9)</f>
        <v>4000</v>
      </c>
      <c r="P9" s="157">
        <v>4000</v>
      </c>
      <c r="Q9" s="157"/>
    </row>
    <row r="10" spans="1:17">
      <c r="M10" s="157"/>
      <c r="N10" s="157" t="s">
        <v>48</v>
      </c>
      <c r="O10" s="157">
        <f>SUMIFS('Purchase Contracts'!$L:$L,'Purchase Contracts'!$F:$F,N10)</f>
        <v>1670</v>
      </c>
      <c r="P10" s="157">
        <v>0</v>
      </c>
      <c r="Q10" s="157"/>
    </row>
    <row r="11" spans="1:17" ht="18.75">
      <c r="J11" s="166" t="s">
        <v>207</v>
      </c>
      <c r="M11" s="157"/>
      <c r="N11" s="157" t="s">
        <v>51</v>
      </c>
      <c r="O11" s="157">
        <f>SUMIFS('Purchase Contracts'!$L:$L,'Purchase Contracts'!$F:$F,N11)</f>
        <v>32784</v>
      </c>
      <c r="P11" s="157">
        <v>40000</v>
      </c>
      <c r="Q11" s="157"/>
    </row>
    <row r="12" spans="1:17" ht="18.75">
      <c r="J12" s="168">
        <f>SUM('Purchase Contracts'!$L:$L)-SUM(Position!$K$6:$K$12)</f>
        <v>10122</v>
      </c>
    </row>
    <row r="14" spans="1:17" ht="18.75">
      <c r="J14" s="161"/>
    </row>
    <row r="15" spans="1:17" ht="18.75">
      <c r="J15" s="162"/>
    </row>
    <row r="17" spans="2:10" ht="18.75">
      <c r="B17" s="157"/>
      <c r="C17" s="157"/>
      <c r="D17" s="157"/>
      <c r="E17" s="157"/>
      <c r="J17" s="166" t="s">
        <v>223</v>
      </c>
    </row>
    <row r="18" spans="2:10" ht="18.75">
      <c r="B18" s="157"/>
      <c r="C18" s="157"/>
      <c r="D18" s="157"/>
      <c r="E18" s="157"/>
      <c r="I18" s="15"/>
      <c r="J18" s="167">
        <f>IFERROR(SUM(Position!$K$6:$K$12)/SUM('Purchase Contracts'!$L:$L),0)</f>
        <v>0.93212269148750693</v>
      </c>
    </row>
    <row r="19" spans="2:10" ht="18.75">
      <c r="B19" s="158" t="s">
        <v>5</v>
      </c>
      <c r="C19" s="159" t="s">
        <v>205</v>
      </c>
      <c r="D19" s="158" t="s">
        <v>206</v>
      </c>
      <c r="E19" s="157"/>
      <c r="J19" s="161"/>
    </row>
    <row r="20" spans="2:10" ht="18.75">
      <c r="B20" s="157" t="s">
        <v>18</v>
      </c>
      <c r="C20" s="157">
        <f>SUMIFS('Purchase Contracts'!$L:$L,'Purchase Contracts'!$F:$F,B20)</f>
        <v>24091</v>
      </c>
      <c r="D20" s="160">
        <v>20000</v>
      </c>
      <c r="E20" s="157"/>
      <c r="J20" s="165"/>
    </row>
    <row r="21" spans="2:10" ht="18.75">
      <c r="B21" s="157" t="s">
        <v>27</v>
      </c>
      <c r="C21" s="157">
        <f>SUMIFS('Purchase Contracts'!$L:$L,'Purchase Contracts'!$F:$F,B21)</f>
        <v>34168</v>
      </c>
      <c r="D21" s="157">
        <v>30000</v>
      </c>
      <c r="E21" s="157"/>
      <c r="J21" s="163" t="s">
        <v>223</v>
      </c>
    </row>
    <row r="22" spans="2:10" ht="18.75">
      <c r="B22" s="157" t="s">
        <v>34</v>
      </c>
      <c r="C22" s="157">
        <f>SUMIFS('Purchase Contracts'!$L:$L,'Purchase Contracts'!$F:$F,B22)</f>
        <v>12000</v>
      </c>
      <c r="D22" s="157">
        <v>10000</v>
      </c>
      <c r="E22" s="157"/>
      <c r="J22" s="164">
        <f>IFERROR(SUM(Position!$K$6:$K$12)/SUM('Purchase Contracts'!$L:$L),0)</f>
        <v>0.93212269148750693</v>
      </c>
    </row>
    <row r="23" spans="2:10">
      <c r="B23" s="157" t="s">
        <v>38</v>
      </c>
      <c r="C23" s="157">
        <f>SUMIFS('Purchase Contracts'!$L:$L,'Purchase Contracts'!$F:$F,B23)</f>
        <v>40409</v>
      </c>
      <c r="D23" s="157">
        <v>35000</v>
      </c>
      <c r="E23" s="157"/>
      <c r="J23" s="157"/>
    </row>
    <row r="24" spans="2:10">
      <c r="B24" s="157" t="s">
        <v>45</v>
      </c>
      <c r="C24" s="157">
        <f>SUMIFS('Purchase Contracts'!$L:$L,'Purchase Contracts'!$F:$F,B24)</f>
        <v>4000</v>
      </c>
      <c r="D24" s="157">
        <v>4000</v>
      </c>
      <c r="E24" s="157"/>
    </row>
    <row r="25" spans="2:10">
      <c r="B25" s="157" t="s">
        <v>48</v>
      </c>
      <c r="C25" s="157">
        <f>SUMIFS('Purchase Contracts'!$L:$L,'Purchase Contracts'!$F:$F,B25)</f>
        <v>1670</v>
      </c>
      <c r="D25" s="157">
        <v>0</v>
      </c>
      <c r="E25" s="157"/>
    </row>
    <row r="26" spans="2:10">
      <c r="B26" s="157" t="s">
        <v>51</v>
      </c>
      <c r="C26" s="157">
        <f>SUMIFS('Purchase Contracts'!$L:$L,'Purchase Contracts'!$F:$F,B26)</f>
        <v>32784</v>
      </c>
      <c r="D26" s="157">
        <v>40000</v>
      </c>
      <c r="E26" s="157"/>
    </row>
    <row r="27" spans="2:10">
      <c r="B27" s="157"/>
      <c r="C27" s="157"/>
      <c r="D27" s="157"/>
      <c r="E27" s="157"/>
    </row>
  </sheetData>
  <mergeCells count="1">
    <mergeCell ref="G1:M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F2D17-D01E-40AA-9107-E015EE5869B7}">
  <sheetPr>
    <tabColor rgb="FFB0ABAB"/>
  </sheetPr>
  <dimension ref="A1:X197"/>
  <sheetViews>
    <sheetView showGridLines="0" tabSelected="1" workbookViewId="0">
      <selection activeCell="Y20" sqref="Y20"/>
    </sheetView>
  </sheetViews>
  <sheetFormatPr defaultRowHeight="15"/>
  <sheetData>
    <row r="1" spans="1:24" ht="31.5">
      <c r="A1" s="198" t="s">
        <v>224</v>
      </c>
      <c r="B1" s="199"/>
      <c r="C1" s="199"/>
      <c r="D1" s="199"/>
      <c r="E1" s="199"/>
      <c r="F1" s="199"/>
      <c r="G1" s="199"/>
      <c r="H1" s="199"/>
      <c r="I1" s="199"/>
      <c r="J1" s="199"/>
      <c r="K1" s="199"/>
      <c r="L1" s="199"/>
      <c r="M1" s="199"/>
      <c r="N1" s="199"/>
      <c r="O1" s="199"/>
      <c r="P1" s="199"/>
      <c r="Q1" s="199"/>
      <c r="R1" s="199"/>
      <c r="S1" s="199"/>
      <c r="T1" s="199"/>
      <c r="U1" s="199"/>
      <c r="V1" s="199"/>
      <c r="W1" s="199"/>
      <c r="X1" s="200"/>
    </row>
    <row r="2" spans="1:24" s="18" customFormat="1" ht="15" customHeight="1">
      <c r="A2" s="19"/>
    </row>
    <row r="3" spans="1:24" s="18" customFormat="1" ht="15" customHeight="1"/>
    <row r="4" spans="1:24" s="18" customFormat="1" ht="15" customHeight="1"/>
    <row r="5" spans="1:24" s="18" customFormat="1" ht="15" customHeight="1"/>
    <row r="6" spans="1:24" s="18" customFormat="1" ht="15" customHeight="1"/>
    <row r="7" spans="1:24" s="18" customFormat="1" ht="15" customHeight="1"/>
    <row r="8" spans="1:24" s="18" customFormat="1" ht="15" customHeight="1"/>
    <row r="10" spans="1:24" ht="15" customHeight="1">
      <c r="A10" s="183" t="s">
        <v>225</v>
      </c>
      <c r="B10" s="189"/>
      <c r="C10" s="189"/>
      <c r="D10" s="189"/>
      <c r="E10" s="189"/>
      <c r="F10" s="189"/>
      <c r="G10" s="189"/>
      <c r="H10" s="189"/>
      <c r="I10" s="189"/>
      <c r="J10" s="189"/>
      <c r="K10" s="189"/>
      <c r="L10" s="189"/>
      <c r="M10" s="192" t="s">
        <v>226</v>
      </c>
      <c r="N10" s="193"/>
      <c r="O10" s="193"/>
      <c r="P10" s="193"/>
      <c r="Q10" s="193"/>
      <c r="R10" s="193"/>
      <c r="S10" s="193"/>
      <c r="T10" s="193"/>
      <c r="U10" s="193"/>
      <c r="V10" s="193"/>
      <c r="W10" s="193"/>
      <c r="X10" s="194"/>
    </row>
    <row r="11" spans="1:24">
      <c r="A11" s="190"/>
      <c r="B11" s="191"/>
      <c r="C11" s="191"/>
      <c r="D11" s="191"/>
      <c r="E11" s="191"/>
      <c r="F11" s="191"/>
      <c r="G11" s="191"/>
      <c r="H11" s="191"/>
      <c r="I11" s="191"/>
      <c r="J11" s="191"/>
      <c r="K11" s="191"/>
      <c r="L11" s="191"/>
      <c r="M11" s="195"/>
      <c r="N11" s="196"/>
      <c r="O11" s="196"/>
      <c r="P11" s="196"/>
      <c r="Q11" s="196"/>
      <c r="R11" s="196"/>
      <c r="S11" s="196"/>
      <c r="T11" s="196"/>
      <c r="U11" s="196"/>
      <c r="V11" s="196"/>
      <c r="W11" s="196"/>
      <c r="X11" s="197"/>
    </row>
    <row r="71" spans="1:24" ht="15" customHeight="1">
      <c r="A71" s="170" t="s">
        <v>227</v>
      </c>
      <c r="B71" s="171"/>
      <c r="C71" s="171"/>
      <c r="D71" s="171"/>
      <c r="E71" s="171"/>
      <c r="F71" s="171"/>
      <c r="G71" s="171"/>
      <c r="H71" s="171"/>
      <c r="I71" s="171"/>
      <c r="J71" s="171"/>
      <c r="K71" s="171"/>
      <c r="L71" s="172"/>
      <c r="M71" s="179" t="s">
        <v>228</v>
      </c>
      <c r="N71" s="180"/>
      <c r="O71" s="180"/>
      <c r="P71" s="180"/>
      <c r="Q71" s="180"/>
      <c r="R71" s="180"/>
      <c r="S71" s="180"/>
      <c r="T71" s="180"/>
      <c r="U71" s="180"/>
      <c r="V71" s="180"/>
      <c r="W71" s="180"/>
      <c r="X71" s="180"/>
    </row>
    <row r="72" spans="1:24" ht="15" customHeight="1">
      <c r="A72" s="173"/>
      <c r="B72" s="174"/>
      <c r="C72" s="174"/>
      <c r="D72" s="174"/>
      <c r="E72" s="174"/>
      <c r="F72" s="174"/>
      <c r="G72" s="174"/>
      <c r="H72" s="174"/>
      <c r="I72" s="174"/>
      <c r="J72" s="174"/>
      <c r="K72" s="174"/>
      <c r="L72" s="175"/>
      <c r="M72" s="181"/>
      <c r="N72" s="182"/>
      <c r="O72" s="182"/>
      <c r="P72" s="182"/>
      <c r="Q72" s="182"/>
      <c r="R72" s="182"/>
      <c r="S72" s="182"/>
      <c r="T72" s="182"/>
      <c r="U72" s="182"/>
      <c r="V72" s="182"/>
      <c r="W72" s="182"/>
      <c r="X72" s="182"/>
    </row>
    <row r="75" spans="1:24" ht="26.25" customHeight="1">
      <c r="A75" s="183" t="s">
        <v>229</v>
      </c>
      <c r="B75" s="184"/>
      <c r="C75" s="184"/>
      <c r="D75" s="184"/>
      <c r="E75" s="184"/>
      <c r="F75" s="184"/>
      <c r="G75" s="184"/>
      <c r="H75" s="184"/>
      <c r="I75" s="184"/>
      <c r="J75" s="184"/>
      <c r="K75" s="184"/>
      <c r="L75" s="184"/>
    </row>
    <row r="76" spans="1:24">
      <c r="A76" s="185"/>
      <c r="B76" s="186"/>
      <c r="C76" s="186"/>
      <c r="D76" s="186"/>
      <c r="E76" s="186"/>
      <c r="F76" s="186"/>
      <c r="G76" s="186"/>
      <c r="H76" s="186"/>
      <c r="I76" s="186"/>
      <c r="J76" s="186"/>
      <c r="K76" s="186"/>
      <c r="L76" s="186"/>
    </row>
    <row r="80" spans="1:24" ht="15" customHeight="1">
      <c r="A80" s="169" t="s">
        <v>229</v>
      </c>
      <c r="B80" s="176"/>
      <c r="C80" s="176"/>
      <c r="D80" s="176"/>
      <c r="E80" s="176"/>
      <c r="F80" s="176"/>
      <c r="G80" s="176"/>
      <c r="H80" s="176"/>
      <c r="I80" s="176"/>
      <c r="J80" s="176"/>
      <c r="K80" s="176"/>
      <c r="L80" s="176"/>
    </row>
    <row r="81" spans="1:12">
      <c r="A81" s="177"/>
      <c r="B81" s="178"/>
      <c r="C81" s="178"/>
      <c r="D81" s="178"/>
      <c r="E81" s="178"/>
      <c r="F81" s="178"/>
      <c r="G81" s="178"/>
      <c r="H81" s="178"/>
      <c r="I81" s="178"/>
      <c r="J81" s="178"/>
      <c r="K81" s="178"/>
      <c r="L81" s="178"/>
    </row>
    <row r="122" spans="1:12" ht="15" customHeight="1">
      <c r="A122" s="183" t="s">
        <v>230</v>
      </c>
      <c r="B122" s="184"/>
      <c r="C122" s="184"/>
      <c r="D122" s="184"/>
      <c r="E122" s="184"/>
      <c r="F122" s="184"/>
      <c r="G122" s="184"/>
      <c r="H122" s="184"/>
      <c r="I122" s="184"/>
      <c r="J122" s="184"/>
      <c r="K122" s="184"/>
      <c r="L122" s="184"/>
    </row>
    <row r="123" spans="1:12" ht="15" customHeight="1">
      <c r="A123" s="187"/>
      <c r="B123" s="188"/>
      <c r="C123" s="188"/>
      <c r="D123" s="188"/>
      <c r="E123" s="188"/>
      <c r="F123" s="188"/>
      <c r="G123" s="188"/>
      <c r="H123" s="188"/>
      <c r="I123" s="188"/>
      <c r="J123" s="188"/>
      <c r="K123" s="188"/>
      <c r="L123" s="188"/>
    </row>
    <row r="124" spans="1:12" ht="26.25" customHeight="1">
      <c r="A124" s="187"/>
      <c r="B124" s="188"/>
      <c r="C124" s="188"/>
      <c r="D124" s="188"/>
      <c r="E124" s="188"/>
      <c r="F124" s="188"/>
      <c r="G124" s="188"/>
      <c r="H124" s="188"/>
      <c r="I124" s="188"/>
      <c r="J124" s="188"/>
      <c r="K124" s="188"/>
      <c r="L124" s="188"/>
    </row>
    <row r="134" spans="13:24">
      <c r="M134" s="179" t="s">
        <v>231</v>
      </c>
      <c r="N134" s="180"/>
      <c r="O134" s="180"/>
      <c r="P134" s="180"/>
      <c r="Q134" s="180"/>
      <c r="R134" s="180"/>
      <c r="S134" s="180"/>
      <c r="T134" s="180"/>
      <c r="U134" s="180"/>
      <c r="V134" s="180"/>
      <c r="W134" s="180"/>
      <c r="X134" s="180"/>
    </row>
    <row r="135" spans="13:24">
      <c r="M135" s="181"/>
      <c r="N135" s="182"/>
      <c r="O135" s="182"/>
      <c r="P135" s="182"/>
      <c r="Q135" s="182"/>
      <c r="R135" s="182"/>
      <c r="S135" s="182"/>
      <c r="T135" s="182"/>
      <c r="U135" s="182"/>
      <c r="V135" s="182"/>
      <c r="W135" s="182"/>
      <c r="X135" s="182"/>
    </row>
    <row r="182" spans="1:24">
      <c r="A182" s="183" t="s">
        <v>232</v>
      </c>
      <c r="B182" s="184"/>
      <c r="C182" s="184"/>
      <c r="D182" s="184"/>
      <c r="E182" s="184"/>
      <c r="F182" s="184"/>
      <c r="G182" s="184"/>
      <c r="H182" s="184"/>
      <c r="I182" s="184"/>
      <c r="J182" s="184"/>
      <c r="K182" s="184"/>
      <c r="L182" s="184"/>
    </row>
    <row r="183" spans="1:24">
      <c r="A183" s="187"/>
      <c r="B183" s="188"/>
      <c r="C183" s="188"/>
      <c r="D183" s="188"/>
      <c r="E183" s="188"/>
      <c r="F183" s="188"/>
      <c r="G183" s="188"/>
      <c r="H183" s="188"/>
      <c r="I183" s="188"/>
      <c r="J183" s="188"/>
      <c r="K183" s="188"/>
      <c r="L183" s="188"/>
    </row>
    <row r="192" spans="1:24">
      <c r="M192" s="179" t="s">
        <v>233</v>
      </c>
      <c r="N192" s="180"/>
      <c r="O192" s="180"/>
      <c r="P192" s="180"/>
      <c r="Q192" s="180"/>
      <c r="R192" s="180"/>
      <c r="S192" s="180"/>
      <c r="T192" s="180"/>
      <c r="U192" s="180"/>
      <c r="V192" s="180"/>
      <c r="W192" s="180"/>
      <c r="X192" s="180"/>
    </row>
    <row r="193" spans="13:24">
      <c r="M193" s="181"/>
      <c r="N193" s="182"/>
      <c r="O193" s="182"/>
      <c r="P193" s="182"/>
      <c r="Q193" s="182"/>
      <c r="R193" s="182"/>
      <c r="S193" s="182"/>
      <c r="T193" s="182"/>
      <c r="U193" s="182"/>
      <c r="V193" s="182"/>
      <c r="W193" s="182"/>
      <c r="X193" s="182"/>
    </row>
    <row r="196" spans="13:24">
      <c r="M196" s="179" t="s">
        <v>233</v>
      </c>
      <c r="N196" s="180"/>
      <c r="O196" s="180"/>
      <c r="P196" s="180"/>
      <c r="Q196" s="180"/>
      <c r="R196" s="180"/>
      <c r="S196" s="180"/>
      <c r="T196" s="180"/>
      <c r="U196" s="180"/>
      <c r="V196" s="180"/>
      <c r="W196" s="180"/>
      <c r="X196" s="180"/>
    </row>
    <row r="197" spans="13:24">
      <c r="M197" s="181"/>
      <c r="N197" s="182"/>
      <c r="O197" s="182"/>
      <c r="P197" s="182"/>
      <c r="Q197" s="182"/>
      <c r="R197" s="182"/>
      <c r="S197" s="182"/>
      <c r="T197" s="182"/>
      <c r="U197" s="182"/>
      <c r="V197" s="182"/>
      <c r="W197" s="182"/>
      <c r="X197" s="182"/>
    </row>
  </sheetData>
  <mergeCells count="10">
    <mergeCell ref="A1:X1"/>
    <mergeCell ref="M71:X72"/>
    <mergeCell ref="A182:L183"/>
    <mergeCell ref="M196:X197"/>
    <mergeCell ref="M192:X193"/>
    <mergeCell ref="M134:X135"/>
    <mergeCell ref="A75:L76"/>
    <mergeCell ref="A122:L124"/>
    <mergeCell ref="A10:L11"/>
    <mergeCell ref="M10:X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2026-06-10T00:00:42Z</dcterms:created>
  <dcterms:modified xsi:type="dcterms:W3CDTF">2026-06-13T05:06:31Z</dcterms:modified>
  <cp:category/>
  <cp:contentStatus/>
</cp:coreProperties>
</file>